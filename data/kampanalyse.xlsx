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TeamStats" sheetId="2" state="visible" r:id="rId2"/>
    <sheet xmlns:r="http://schemas.openxmlformats.org/officeDocument/2006/relationships" name="Kampanalyse" sheetId="3" state="visible" r:id="rId3"/>
    <sheet xmlns:r="http://schemas.openxmlformats.org/officeDocument/2006/relationships" name="Tabell" sheetId="4" state="visible" r:id="rId4"/>
    <sheet xmlns:r="http://schemas.openxmlformats.org/officeDocument/2006/relationships" name="LiveTabell" sheetId="5" state="visible" r:id="rId5"/>
    <sheet xmlns:r="http://schemas.openxmlformats.org/officeDocument/2006/relationships" name="Kamp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33" customWidth="1" min="3" max="3"/>
    <col width="19" customWidth="1" min="4" max="4"/>
    <col width="10" customWidth="1" min="5" max="5"/>
  </cols>
  <sheetData>
    <row r="1">
      <c r="A1" t="inlineStr">
        <is>
          <t>Year</t>
        </is>
      </c>
      <c r="B1" t="inlineStr">
        <is>
          <t>Host</t>
        </is>
      </c>
      <c r="C1" t="inlineStr">
        <is>
          <t>Player</t>
        </is>
      </c>
      <c r="D1" t="inlineStr">
        <is>
          <t>Country</t>
        </is>
      </c>
      <c r="E1" t="inlineStr">
        <is>
          <t>Goals</t>
        </is>
      </c>
    </row>
    <row r="2">
      <c r="A2" t="n">
        <v>1930</v>
      </c>
      <c r="B2" t="inlineStr">
        <is>
          <t>Uruguay</t>
        </is>
      </c>
      <c r="C2" t="inlineStr">
        <is>
          <t>Guillermo Stábile</t>
        </is>
      </c>
      <c r="D2" t="inlineStr">
        <is>
          <t>Argentina</t>
        </is>
      </c>
      <c r="E2" t="n">
        <v>8</v>
      </c>
    </row>
    <row r="3">
      <c r="A3" t="n">
        <v>1934</v>
      </c>
      <c r="B3" t="inlineStr">
        <is>
          <t>Italy</t>
        </is>
      </c>
      <c r="C3" t="inlineStr">
        <is>
          <t>Oldřich Nejedlý</t>
        </is>
      </c>
      <c r="D3" t="inlineStr">
        <is>
          <t>Czechoslovakia</t>
        </is>
      </c>
      <c r="E3" t="n">
        <v>5</v>
      </c>
    </row>
    <row r="4">
      <c r="A4" t="n">
        <v>1938</v>
      </c>
      <c r="B4" t="inlineStr">
        <is>
          <t>France</t>
        </is>
      </c>
      <c r="C4" t="inlineStr">
        <is>
          <t>Leônidas</t>
        </is>
      </c>
      <c r="D4" t="inlineStr">
        <is>
          <t>Brazil</t>
        </is>
      </c>
      <c r="E4" t="n">
        <v>7</v>
      </c>
    </row>
    <row r="5">
      <c r="A5" t="n">
        <v>1950</v>
      </c>
      <c r="B5" t="inlineStr">
        <is>
          <t>Brazil</t>
        </is>
      </c>
      <c r="C5" t="inlineStr">
        <is>
          <t>Ademir</t>
        </is>
      </c>
      <c r="D5" t="inlineStr">
        <is>
          <t>Brazil</t>
        </is>
      </c>
      <c r="E5" t="n">
        <v>8</v>
      </c>
    </row>
    <row r="6">
      <c r="A6" t="n">
        <v>1954</v>
      </c>
      <c r="B6" t="inlineStr">
        <is>
          <t>Switzerland</t>
        </is>
      </c>
      <c r="C6" t="inlineStr">
        <is>
          <t>Sándor Kocsis</t>
        </is>
      </c>
      <c r="D6" t="inlineStr">
        <is>
          <t>Hungary</t>
        </is>
      </c>
      <c r="E6" t="n">
        <v>11</v>
      </c>
    </row>
    <row r="7">
      <c r="A7" t="n">
        <v>1958</v>
      </c>
      <c r="B7" t="inlineStr">
        <is>
          <t>Sweden</t>
        </is>
      </c>
      <c r="C7" t="inlineStr">
        <is>
          <t>Just Fontaine</t>
        </is>
      </c>
      <c r="D7" t="inlineStr">
        <is>
          <t>France</t>
        </is>
      </c>
      <c r="E7" t="n">
        <v>13</v>
      </c>
    </row>
    <row r="8">
      <c r="A8" t="n">
        <v>1962</v>
      </c>
      <c r="B8" t="inlineStr">
        <is>
          <t>Chile</t>
        </is>
      </c>
      <c r="C8" t="inlineStr">
        <is>
          <t>Garrincha / Vavá / Others</t>
        </is>
      </c>
      <c r="D8" t="inlineStr">
        <is>
          <t>Multiple</t>
        </is>
      </c>
      <c r="E8" t="n">
        <v>4</v>
      </c>
    </row>
    <row r="9">
      <c r="A9" t="n">
        <v>1966</v>
      </c>
      <c r="B9" t="inlineStr">
        <is>
          <t>England</t>
        </is>
      </c>
      <c r="C9" t="inlineStr">
        <is>
          <t>Eusébio</t>
        </is>
      </c>
      <c r="D9" t="inlineStr">
        <is>
          <t>Portugal</t>
        </is>
      </c>
      <c r="E9" t="n">
        <v>9</v>
      </c>
    </row>
    <row r="10">
      <c r="A10" t="n">
        <v>1970</v>
      </c>
      <c r="B10" t="inlineStr">
        <is>
          <t>Mexico</t>
        </is>
      </c>
      <c r="C10" t="inlineStr">
        <is>
          <t>Gerd Müller</t>
        </is>
      </c>
      <c r="D10" t="inlineStr">
        <is>
          <t>West Germany</t>
        </is>
      </c>
      <c r="E10" t="n">
        <v>10</v>
      </c>
    </row>
    <row r="11">
      <c r="A11" t="n">
        <v>1974</v>
      </c>
      <c r="B11" t="inlineStr">
        <is>
          <t>West Germany</t>
        </is>
      </c>
      <c r="C11" t="inlineStr">
        <is>
          <t>Grzegorz Lato</t>
        </is>
      </c>
      <c r="D11" t="inlineStr">
        <is>
          <t>Poland</t>
        </is>
      </c>
      <c r="E11" t="n">
        <v>7</v>
      </c>
    </row>
    <row r="12">
      <c r="A12" t="n">
        <v>1978</v>
      </c>
      <c r="B12" t="inlineStr">
        <is>
          <t>Argentina</t>
        </is>
      </c>
      <c r="C12" t="inlineStr">
        <is>
          <t>Mario Kempes</t>
        </is>
      </c>
      <c r="D12" t="inlineStr">
        <is>
          <t>Argentina</t>
        </is>
      </c>
      <c r="E12" t="n">
        <v>6</v>
      </c>
    </row>
    <row r="13">
      <c r="A13" t="n">
        <v>1982</v>
      </c>
      <c r="B13" t="inlineStr">
        <is>
          <t>Spain</t>
        </is>
      </c>
      <c r="C13" t="inlineStr">
        <is>
          <t>Paolo Rossi</t>
        </is>
      </c>
      <c r="D13" t="inlineStr">
        <is>
          <t>Italy</t>
        </is>
      </c>
      <c r="E13" t="n">
        <v>6</v>
      </c>
    </row>
    <row r="14">
      <c r="A14" t="n">
        <v>1986</v>
      </c>
      <c r="B14" t="inlineStr">
        <is>
          <t>Mexico</t>
        </is>
      </c>
      <c r="C14" t="inlineStr">
        <is>
          <t>Gary Lineker</t>
        </is>
      </c>
      <c r="D14" t="inlineStr">
        <is>
          <t>England</t>
        </is>
      </c>
      <c r="E14" t="n">
        <v>6</v>
      </c>
    </row>
    <row r="15">
      <c r="A15" t="n">
        <v>1990</v>
      </c>
      <c r="B15" t="inlineStr">
        <is>
          <t>Italy</t>
        </is>
      </c>
      <c r="C15" t="inlineStr">
        <is>
          <t>Salvatore Schillaci</t>
        </is>
      </c>
      <c r="D15" t="inlineStr">
        <is>
          <t>Italy</t>
        </is>
      </c>
      <c r="E15" t="n">
        <v>6</v>
      </c>
    </row>
    <row r="16">
      <c r="A16" t="n">
        <v>1994</v>
      </c>
      <c r="B16" t="inlineStr">
        <is>
          <t>United States</t>
        </is>
      </c>
      <c r="C16" t="inlineStr">
        <is>
          <t>Oleg Salenko / Hristo Stoichkov</t>
        </is>
      </c>
      <c r="D16" t="inlineStr">
        <is>
          <t>Russia / Bulgaria</t>
        </is>
      </c>
      <c r="E16" t="n">
        <v>6</v>
      </c>
    </row>
    <row r="17">
      <c r="A17" t="n">
        <v>1998</v>
      </c>
      <c r="B17" t="inlineStr">
        <is>
          <t>France</t>
        </is>
      </c>
      <c r="C17" t="inlineStr">
        <is>
          <t>Davor Šuker</t>
        </is>
      </c>
      <c r="D17" t="inlineStr">
        <is>
          <t>Croatia</t>
        </is>
      </c>
      <c r="E17" t="n">
        <v>6</v>
      </c>
    </row>
    <row r="18">
      <c r="A18" t="n">
        <v>2002</v>
      </c>
      <c r="B18" t="inlineStr">
        <is>
          <t>South Korea / Japan</t>
        </is>
      </c>
      <c r="C18" t="inlineStr">
        <is>
          <t>Ronaldo</t>
        </is>
      </c>
      <c r="D18" t="inlineStr">
        <is>
          <t>Brazil</t>
        </is>
      </c>
      <c r="E18" t="n">
        <v>8</v>
      </c>
    </row>
    <row r="19">
      <c r="A19" t="n">
        <v>2006</v>
      </c>
      <c r="B19" t="inlineStr">
        <is>
          <t>Germany</t>
        </is>
      </c>
      <c r="C19" t="inlineStr">
        <is>
          <t>Miroslav Klose</t>
        </is>
      </c>
      <c r="D19" t="inlineStr">
        <is>
          <t>Germany</t>
        </is>
      </c>
      <c r="E19" t="n">
        <v>5</v>
      </c>
    </row>
    <row r="20">
      <c r="A20" t="n">
        <v>2010</v>
      </c>
      <c r="B20" t="inlineStr">
        <is>
          <t>South Africa</t>
        </is>
      </c>
      <c r="C20" t="inlineStr">
        <is>
          <t>Thomas Müller</t>
        </is>
      </c>
      <c r="D20" t="inlineStr">
        <is>
          <t>Germany</t>
        </is>
      </c>
      <c r="E20" t="n">
        <v>5</v>
      </c>
    </row>
    <row r="21">
      <c r="A21" t="n">
        <v>2014</v>
      </c>
      <c r="B21" t="inlineStr">
        <is>
          <t>Brazil</t>
        </is>
      </c>
      <c r="C21" t="inlineStr">
        <is>
          <t>James Rodríguez</t>
        </is>
      </c>
      <c r="D21" t="inlineStr">
        <is>
          <t>Colombia</t>
        </is>
      </c>
      <c r="E21" t="n">
        <v>6</v>
      </c>
    </row>
    <row r="22">
      <c r="A22" t="n">
        <v>2018</v>
      </c>
      <c r="B22" t="inlineStr">
        <is>
          <t>Russia</t>
        </is>
      </c>
      <c r="C22" t="inlineStr">
        <is>
          <t>Harry Kane</t>
        </is>
      </c>
      <c r="D22" t="inlineStr">
        <is>
          <t>England</t>
        </is>
      </c>
      <c r="E22" t="n">
        <v>6</v>
      </c>
    </row>
    <row r="23">
      <c r="A23" t="n">
        <v>2022</v>
      </c>
      <c r="B23" t="inlineStr">
        <is>
          <t>Qatar</t>
        </is>
      </c>
      <c r="C23" t="inlineStr">
        <is>
          <t>Kylian Mbappé</t>
        </is>
      </c>
      <c r="D23" t="inlineStr">
        <is>
          <t>France</t>
        </is>
      </c>
      <c r="E2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12" customWidth="1" min="4" max="4"/>
    <col width="19" customWidth="1" min="5" max="5"/>
    <col width="10" customWidth="1" min="6" max="6"/>
    <col width="11" customWidth="1" min="7" max="7"/>
    <col width="10" customWidth="1" min="8" max="8"/>
  </cols>
  <sheetData>
    <row r="1">
      <c r="A1" t="inlineStr">
        <is>
          <t>Team</t>
        </is>
      </c>
      <c r="B1" t="inlineStr">
        <is>
          <t>Entries</t>
        </is>
      </c>
      <c r="C1" t="inlineStr">
        <is>
          <t>UniquePlayers</t>
        </is>
      </c>
      <c r="D1" t="inlineStr">
        <is>
          <t>TotalGoals</t>
        </is>
      </c>
      <c r="E1" t="inlineStr">
        <is>
          <t>AvgGoals</t>
        </is>
      </c>
      <c r="F1" t="inlineStr">
        <is>
          <t>MaxGoals</t>
        </is>
      </c>
      <c r="G1" t="inlineStr">
        <is>
          <t>FirstYear</t>
        </is>
      </c>
      <c r="H1" t="inlineStr">
        <is>
          <t>LastYear</t>
        </is>
      </c>
    </row>
    <row r="2">
      <c r="A2" t="inlineStr">
        <is>
          <t>Argentina</t>
        </is>
      </c>
      <c r="B2" t="n">
        <v>2</v>
      </c>
      <c r="C2" t="n">
        <v>2</v>
      </c>
      <c r="D2" t="n">
        <v>14</v>
      </c>
      <c r="E2" t="n">
        <v>7</v>
      </c>
      <c r="F2" t="n">
        <v>8</v>
      </c>
      <c r="G2" t="n">
        <v>1930</v>
      </c>
      <c r="H2" t="n">
        <v>1978</v>
      </c>
    </row>
    <row r="3">
      <c r="A3" t="inlineStr">
        <is>
          <t>Brazil</t>
        </is>
      </c>
      <c r="B3" t="n">
        <v>3</v>
      </c>
      <c r="C3" t="n">
        <v>3</v>
      </c>
      <c r="D3" t="n">
        <v>23</v>
      </c>
      <c r="E3" t="n">
        <v>7.666666666666667</v>
      </c>
      <c r="F3" t="n">
        <v>8</v>
      </c>
      <c r="G3" t="n">
        <v>1938</v>
      </c>
      <c r="H3" t="n">
        <v>2002</v>
      </c>
    </row>
    <row r="4">
      <c r="A4" t="inlineStr">
        <is>
          <t>Colombia</t>
        </is>
      </c>
      <c r="B4" t="n">
        <v>1</v>
      </c>
      <c r="C4" t="n">
        <v>1</v>
      </c>
      <c r="D4" t="n">
        <v>6</v>
      </c>
      <c r="E4" t="n">
        <v>6</v>
      </c>
      <c r="F4" t="n">
        <v>6</v>
      </c>
      <c r="G4" t="n">
        <v>2014</v>
      </c>
      <c r="H4" t="n">
        <v>2014</v>
      </c>
    </row>
    <row r="5">
      <c r="A5" t="inlineStr">
        <is>
          <t>Croatia</t>
        </is>
      </c>
      <c r="B5" t="n">
        <v>1</v>
      </c>
      <c r="C5" t="n">
        <v>1</v>
      </c>
      <c r="D5" t="n">
        <v>6</v>
      </c>
      <c r="E5" t="n">
        <v>6</v>
      </c>
      <c r="F5" t="n">
        <v>6</v>
      </c>
      <c r="G5" t="n">
        <v>1998</v>
      </c>
      <c r="H5" t="n">
        <v>1998</v>
      </c>
    </row>
    <row r="6">
      <c r="A6" t="inlineStr">
        <is>
          <t>Czechoslovakia</t>
        </is>
      </c>
      <c r="B6" t="n">
        <v>1</v>
      </c>
      <c r="C6" t="n">
        <v>1</v>
      </c>
      <c r="D6" t="n">
        <v>5</v>
      </c>
      <c r="E6" t="n">
        <v>5</v>
      </c>
      <c r="F6" t="n">
        <v>5</v>
      </c>
      <c r="G6" t="n">
        <v>1934</v>
      </c>
      <c r="H6" t="n">
        <v>1934</v>
      </c>
    </row>
    <row r="7">
      <c r="A7" t="inlineStr">
        <is>
          <t>England</t>
        </is>
      </c>
      <c r="B7" t="n">
        <v>2</v>
      </c>
      <c r="C7" t="n">
        <v>2</v>
      </c>
      <c r="D7" t="n">
        <v>12</v>
      </c>
      <c r="E7" t="n">
        <v>6</v>
      </c>
      <c r="F7" t="n">
        <v>6</v>
      </c>
      <c r="G7" t="n">
        <v>1986</v>
      </c>
      <c r="H7" t="n">
        <v>2018</v>
      </c>
    </row>
    <row r="8">
      <c r="A8" t="inlineStr">
        <is>
          <t>France</t>
        </is>
      </c>
      <c r="B8" t="n">
        <v>2</v>
      </c>
      <c r="C8" t="n">
        <v>2</v>
      </c>
      <c r="D8" t="n">
        <v>21</v>
      </c>
      <c r="E8" t="n">
        <v>10.5</v>
      </c>
      <c r="F8" t="n">
        <v>13</v>
      </c>
      <c r="G8" t="n">
        <v>1958</v>
      </c>
      <c r="H8" t="n">
        <v>2022</v>
      </c>
    </row>
    <row r="9">
      <c r="A9" t="inlineStr">
        <is>
          <t>Germany</t>
        </is>
      </c>
      <c r="B9" t="n">
        <v>2</v>
      </c>
      <c r="C9" t="n">
        <v>2</v>
      </c>
      <c r="D9" t="n">
        <v>10</v>
      </c>
      <c r="E9" t="n">
        <v>5</v>
      </c>
      <c r="F9" t="n">
        <v>5</v>
      </c>
      <c r="G9" t="n">
        <v>2006</v>
      </c>
      <c r="H9" t="n">
        <v>2010</v>
      </c>
    </row>
    <row r="10">
      <c r="A10" t="inlineStr">
        <is>
          <t>Hungary</t>
        </is>
      </c>
      <c r="B10" t="n">
        <v>1</v>
      </c>
      <c r="C10" t="n">
        <v>1</v>
      </c>
      <c r="D10" t="n">
        <v>11</v>
      </c>
      <c r="E10" t="n">
        <v>11</v>
      </c>
      <c r="F10" t="n">
        <v>11</v>
      </c>
      <c r="G10" t="n">
        <v>1954</v>
      </c>
      <c r="H10" t="n">
        <v>1954</v>
      </c>
    </row>
    <row r="11">
      <c r="A11" t="inlineStr">
        <is>
          <t>Italy</t>
        </is>
      </c>
      <c r="B11" t="n">
        <v>2</v>
      </c>
      <c r="C11" t="n">
        <v>2</v>
      </c>
      <c r="D11" t="n">
        <v>12</v>
      </c>
      <c r="E11" t="n">
        <v>6</v>
      </c>
      <c r="F11" t="n">
        <v>6</v>
      </c>
      <c r="G11" t="n">
        <v>1982</v>
      </c>
      <c r="H11" t="n">
        <v>1990</v>
      </c>
    </row>
    <row r="12">
      <c r="A12" t="inlineStr">
        <is>
          <t>Multiple</t>
        </is>
      </c>
      <c r="B12" t="n">
        <v>1</v>
      </c>
      <c r="C12" t="n">
        <v>1</v>
      </c>
      <c r="D12" t="n">
        <v>4</v>
      </c>
      <c r="E12" t="n">
        <v>4</v>
      </c>
      <c r="F12" t="n">
        <v>4</v>
      </c>
      <c r="G12" t="n">
        <v>1962</v>
      </c>
      <c r="H12" t="n">
        <v>1962</v>
      </c>
    </row>
    <row r="13">
      <c r="A13" t="inlineStr">
        <is>
          <t>Poland</t>
        </is>
      </c>
      <c r="B13" t="n">
        <v>1</v>
      </c>
      <c r="C13" t="n">
        <v>1</v>
      </c>
      <c r="D13" t="n">
        <v>7</v>
      </c>
      <c r="E13" t="n">
        <v>7</v>
      </c>
      <c r="F13" t="n">
        <v>7</v>
      </c>
      <c r="G13" t="n">
        <v>1974</v>
      </c>
      <c r="H13" t="n">
        <v>1974</v>
      </c>
    </row>
    <row r="14">
      <c r="A14" t="inlineStr">
        <is>
          <t>Portugal</t>
        </is>
      </c>
      <c r="B14" t="n">
        <v>1</v>
      </c>
      <c r="C14" t="n">
        <v>1</v>
      </c>
      <c r="D14" t="n">
        <v>9</v>
      </c>
      <c r="E14" t="n">
        <v>9</v>
      </c>
      <c r="F14" t="n">
        <v>9</v>
      </c>
      <c r="G14" t="n">
        <v>1966</v>
      </c>
      <c r="H14" t="n">
        <v>1966</v>
      </c>
    </row>
    <row r="15">
      <c r="A15" t="inlineStr">
        <is>
          <t>Russia / Bulgaria</t>
        </is>
      </c>
      <c r="B15" t="n">
        <v>1</v>
      </c>
      <c r="C15" t="n">
        <v>1</v>
      </c>
      <c r="D15" t="n">
        <v>6</v>
      </c>
      <c r="E15" t="n">
        <v>6</v>
      </c>
      <c r="F15" t="n">
        <v>6</v>
      </c>
      <c r="G15" t="n">
        <v>1994</v>
      </c>
      <c r="H15" t="n">
        <v>1994</v>
      </c>
    </row>
    <row r="16">
      <c r="A16" t="inlineStr">
        <is>
          <t>West Germany</t>
        </is>
      </c>
      <c r="B16" t="n">
        <v>1</v>
      </c>
      <c r="C16" t="n">
        <v>1</v>
      </c>
      <c r="D16" t="n">
        <v>10</v>
      </c>
      <c r="E16" t="n">
        <v>10</v>
      </c>
      <c r="F16" t="n">
        <v>10</v>
      </c>
      <c r="G16" t="n">
        <v>1970</v>
      </c>
      <c r="H16" t="n">
        <v>1970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35" customWidth="1" min="4" max="4"/>
  </cols>
  <sheetData>
    <row r="1">
      <c r="A1" s="1" t="inlineStr">
        <is>
          <t>Kampanalyse</t>
        </is>
      </c>
    </row>
    <row r="2">
      <c r="A2" t="inlineStr">
        <is>
          <t>Hjemmelag</t>
        </is>
      </c>
    </row>
    <row r="3">
      <c r="A3" t="inlineStr">
        <is>
          <t>Bortelag</t>
        </is>
      </c>
    </row>
    <row r="4">
      <c r="A4" t="inlineStr">
        <is>
          <t>Tips</t>
        </is>
      </c>
      <c r="B4">
        <f>IF(B2=B3,"Velg to ulike lag","OK")</f>
        <v/>
      </c>
    </row>
    <row r="5">
      <c r="A5" s="2" t="inlineStr">
        <is>
          <t>Statistikk</t>
        </is>
      </c>
      <c r="B5" s="2" t="inlineStr">
        <is>
          <t>Hjemme</t>
        </is>
      </c>
      <c r="C5" s="2" t="inlineStr">
        <is>
          <t>Borte</t>
        </is>
      </c>
      <c r="D5" s="2" t="inlineStr">
        <is>
          <t>Differanse</t>
        </is>
      </c>
    </row>
    <row r="6">
      <c r="A6" t="inlineStr">
        <is>
          <t>Entries</t>
        </is>
      </c>
      <c r="B6">
        <f>IFERROR(INDEX(TeamStats!$B$2:$H$16,MATCH($B$2,TeamStats!$A$2:$A$16,0),2),"")</f>
        <v/>
      </c>
      <c r="C6">
        <f>IFERROR(INDEX(TeamStats!$B$2:$H$16,MATCH($B$3,TeamStats!$A$2:$A$16,0),2),"")</f>
        <v/>
      </c>
      <c r="D6">
        <f>IF(OR(B6="",C6=""),"",B6-C6)</f>
        <v/>
      </c>
    </row>
    <row r="7">
      <c r="A7" t="inlineStr">
        <is>
          <t>UniquePlayers</t>
        </is>
      </c>
      <c r="B7">
        <f>IFERROR(INDEX(TeamStats!$B$2:$H$16,MATCH($B$2,TeamStats!$A$2:$A$16,0),3),"")</f>
        <v/>
      </c>
      <c r="C7">
        <f>IFERROR(INDEX(TeamStats!$B$2:$H$16,MATCH($B$3,TeamStats!$A$2:$A$16,0),3),"")</f>
        <v/>
      </c>
      <c r="D7">
        <f>IF(OR(B7="",C7=""),"",B7-C7)</f>
        <v/>
      </c>
    </row>
    <row r="8">
      <c r="A8" t="inlineStr">
        <is>
          <t>TotalGoals</t>
        </is>
      </c>
      <c r="B8">
        <f>IFERROR(INDEX(TeamStats!$B$2:$H$16,MATCH($B$2,TeamStats!$A$2:$A$16,0),4),"")</f>
        <v/>
      </c>
      <c r="C8">
        <f>IFERROR(INDEX(TeamStats!$B$2:$H$16,MATCH($B$3,TeamStats!$A$2:$A$16,0),4),"")</f>
        <v/>
      </c>
      <c r="D8">
        <f>IF(OR(B8="",C8=""),"",B8-C8)</f>
        <v/>
      </c>
    </row>
    <row r="9">
      <c r="A9" t="inlineStr">
        <is>
          <t>AvgGoals</t>
        </is>
      </c>
      <c r="B9" s="3">
        <f>IFERROR(INDEX(TeamStats!$B$2:$H$16,MATCH($B$2,TeamStats!$A$2:$A$16,0),5),"")</f>
        <v/>
      </c>
      <c r="C9" s="3">
        <f>IFERROR(INDEX(TeamStats!$B$2:$H$16,MATCH($B$3,TeamStats!$A$2:$A$16,0),5),"")</f>
        <v/>
      </c>
      <c r="D9" s="3">
        <f>IF(OR(B9="",C9=""),"",B9-C9)</f>
        <v/>
      </c>
    </row>
    <row r="10">
      <c r="A10" t="inlineStr">
        <is>
          <t>MaxGoals</t>
        </is>
      </c>
      <c r="B10">
        <f>IFERROR(INDEX(TeamStats!$B$2:$H$16,MATCH($B$2,TeamStats!$A$2:$A$16,0),6),"")</f>
        <v/>
      </c>
      <c r="C10">
        <f>IFERROR(INDEX(TeamStats!$B$2:$H$16,MATCH($B$3,TeamStats!$A$2:$A$16,0),6),"")</f>
        <v/>
      </c>
      <c r="D10">
        <f>IF(OR(B10="",C10=""),"",B10-C10)</f>
        <v/>
      </c>
    </row>
    <row r="11">
      <c r="A11" t="inlineStr">
        <is>
          <t>FirstYear</t>
        </is>
      </c>
      <c r="B11">
        <f>IFERROR(INDEX(TeamStats!$B$2:$H$16,MATCH($B$2,TeamStats!$A$2:$A$16,0),7),"")</f>
        <v/>
      </c>
      <c r="C11">
        <f>IFERROR(INDEX(TeamStats!$B$2:$H$16,MATCH($B$3,TeamStats!$A$2:$A$16,0),7),"")</f>
        <v/>
      </c>
      <c r="D11">
        <f>IF(OR(B11="",C11=""),"",B11-C11)</f>
        <v/>
      </c>
    </row>
    <row r="12">
      <c r="A12" t="inlineStr">
        <is>
          <t>LastYear</t>
        </is>
      </c>
      <c r="B12">
        <f>IFERROR(INDEX(TeamStats!$B$2:$H$16,MATCH($B$2,TeamStats!$A$2:$A$16,0),8),"")</f>
        <v/>
      </c>
      <c r="C12">
        <f>IFERROR(INDEX(TeamStats!$B$2:$H$16,MATCH($B$3,TeamStats!$A$2:$A$16,0),8),"")</f>
        <v/>
      </c>
      <c r="D12">
        <f>IF(OR(B12="",C12=""),"",B12-C12)</f>
        <v/>
      </c>
    </row>
  </sheetData>
  <dataValidations count="1">
    <dataValidation sqref="B2 B3" showDropDown="0" showInputMessage="0" showErrorMessage="0" allowBlank="0" type="list">
      <formula1>=TeamStats!$A$2:$A$16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4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12" customWidth="1" min="9" max="9"/>
    <col hidden="1" width="21" customWidth="1" min="10" max="10"/>
  </cols>
  <sheetData>
    <row r="1">
      <c r="A1" s="2" t="inlineStr">
        <is>
          <t>Pos</t>
        </is>
      </c>
      <c r="B1" s="2" t="inlineStr">
        <is>
          <t>Team</t>
        </is>
      </c>
      <c r="C1" s="2" t="inlineStr">
        <is>
          <t>MP</t>
        </is>
      </c>
      <c r="D1" s="2" t="inlineStr">
        <is>
          <t>W</t>
        </is>
      </c>
      <c r="E1" s="2" t="inlineStr">
        <is>
          <t>D</t>
        </is>
      </c>
      <c r="F1" s="2" t="inlineStr">
        <is>
          <t>L</t>
        </is>
      </c>
      <c r="G1" s="2" t="inlineStr">
        <is>
          <t>GF</t>
        </is>
      </c>
      <c r="H1" s="2" t="inlineStr">
        <is>
          <t>GA</t>
        </is>
      </c>
      <c r="I1" s="2" t="inlineStr">
        <is>
          <t>Pts</t>
        </is>
      </c>
      <c r="J1" s="2" t="inlineStr">
        <is>
          <t>SortKey</t>
        </is>
      </c>
    </row>
    <row r="2">
      <c r="A2">
        <f>RANK(J2,$J$2:$J$16,0)+COUNTIF($J$2:J2,J2)-1</f>
        <v/>
      </c>
      <c r="B2" t="inlineStr">
        <is>
          <t>Argentina</t>
        </is>
      </c>
      <c r="C2">
        <f>D2+E2+F2</f>
        <v/>
      </c>
      <c r="D2">
        <f>SUMPRODUCT((Kamper!$B$2:$B$5000=$B2)*(Kamper!$D$2:$D$5000&gt;Kamper!$E$2:$E$5000))+SUMPRODUCT((Kamper!$C$2:$C$5000=$B2)*(Kamper!$E$2:$E$5000&gt;Kamper!$D$2:$D$5000))</f>
        <v/>
      </c>
      <c r="E2">
        <f>SUMPRODUCT((Kamper!$B$2:$B$5000=$B2)*(Kamper!$D$2:$D$5000=Kamper!$E$2:$E$5000))+SUMPRODUCT((Kamper!$C$2:$C$5000=$B2)*(Kamper!$E$2:$E$5000=Kamper!$D$2:$D$5000))</f>
        <v/>
      </c>
      <c r="F2">
        <f>SUMPRODUCT((Kamper!$B$2:$B$5000=$B2)*(Kamper!$D$2:$D$5000&lt;Kamper!$E$2:$E$5000))+SUMPRODUCT((Kamper!$C$2:$C$5000=$B2)*(Kamper!$E$2:$E$5000&lt;Kamper!$D$2:$D$5000))</f>
        <v/>
      </c>
      <c r="G2">
        <f>SUMIFS(Kamper!$D:$D,Kamper!$B:$B,$B2)+SUMIFS(Kamper!$E:$E,Kamper!$C:$C,$B2)</f>
        <v/>
      </c>
      <c r="H2">
        <f>SUMIFS(Kamper!$E:$E,Kamper!$B:$B,$B2)+SUMIFS(Kamper!$D:$D,Kamper!$C:$C,$B2)</f>
        <v/>
      </c>
      <c r="I2">
        <f>D2*3+E2</f>
        <v/>
      </c>
      <c r="J2">
        <f>I2*1000+(G2-H2)</f>
        <v/>
      </c>
    </row>
    <row r="3">
      <c r="A3">
        <f>RANK(J3,$J$2:$J$16,0)+COUNTIF($J$2:J3,J3)-1</f>
        <v/>
      </c>
      <c r="B3" t="inlineStr">
        <is>
          <t>Brazil</t>
        </is>
      </c>
      <c r="C3">
        <f>D3+E3+F3</f>
        <v/>
      </c>
      <c r="D3">
        <f>SUMPRODUCT((Kamper!$B$2:$B$5000=$B3)*(Kamper!$D$2:$D$5000&gt;Kamper!$E$2:$E$5000))+SUMPRODUCT((Kamper!$C$2:$C$5000=$B3)*(Kamper!$E$2:$E$5000&gt;Kamper!$D$2:$D$5000))</f>
        <v/>
      </c>
      <c r="E3">
        <f>SUMPRODUCT((Kamper!$B$2:$B$5000=$B3)*(Kamper!$D$2:$D$5000=Kamper!$E$2:$E$5000))+SUMPRODUCT((Kamper!$C$2:$C$5000=$B3)*(Kamper!$E$2:$E$5000=Kamper!$D$2:$D$5000))</f>
        <v/>
      </c>
      <c r="F3">
        <f>SUMPRODUCT((Kamper!$B$2:$B$5000=$B3)*(Kamper!$D$2:$D$5000&lt;Kamper!$E$2:$E$5000))+SUMPRODUCT((Kamper!$C$2:$C$5000=$B3)*(Kamper!$E$2:$E$5000&lt;Kamper!$D$2:$D$5000))</f>
        <v/>
      </c>
      <c r="G3">
        <f>SUMIFS(Kamper!$D:$D,Kamper!$B:$B,$B3)+SUMIFS(Kamper!$E:$E,Kamper!$C:$C,$B3)</f>
        <v/>
      </c>
      <c r="H3">
        <f>SUMIFS(Kamper!$E:$E,Kamper!$B:$B,$B3)+SUMIFS(Kamper!$D:$D,Kamper!$C:$C,$B3)</f>
        <v/>
      </c>
      <c r="I3">
        <f>D3*3+E3</f>
        <v/>
      </c>
      <c r="J3">
        <f>I3*1000+(G3-H3)</f>
        <v/>
      </c>
    </row>
    <row r="4">
      <c r="A4">
        <f>RANK(J4,$J$2:$J$16,0)+COUNTIF($J$2:J4,J4)-1</f>
        <v/>
      </c>
      <c r="B4" t="inlineStr">
        <is>
          <t>Colombia</t>
        </is>
      </c>
      <c r="C4">
        <f>D4+E4+F4</f>
        <v/>
      </c>
      <c r="D4">
        <f>SUMPRODUCT((Kamper!$B$2:$B$5000=$B4)*(Kamper!$D$2:$D$5000&gt;Kamper!$E$2:$E$5000))+SUMPRODUCT((Kamper!$C$2:$C$5000=$B4)*(Kamper!$E$2:$E$5000&gt;Kamper!$D$2:$D$5000))</f>
        <v/>
      </c>
      <c r="E4">
        <f>SUMPRODUCT((Kamper!$B$2:$B$5000=$B4)*(Kamper!$D$2:$D$5000=Kamper!$E$2:$E$5000))+SUMPRODUCT((Kamper!$C$2:$C$5000=$B4)*(Kamper!$E$2:$E$5000=Kamper!$D$2:$D$5000))</f>
        <v/>
      </c>
      <c r="F4">
        <f>SUMPRODUCT((Kamper!$B$2:$B$5000=$B4)*(Kamper!$D$2:$D$5000&lt;Kamper!$E$2:$E$5000))+SUMPRODUCT((Kamper!$C$2:$C$5000=$B4)*(Kamper!$E$2:$E$5000&lt;Kamper!$D$2:$D$5000))</f>
        <v/>
      </c>
      <c r="G4">
        <f>SUMIFS(Kamper!$D:$D,Kamper!$B:$B,$B4)+SUMIFS(Kamper!$E:$E,Kamper!$C:$C,$B4)</f>
        <v/>
      </c>
      <c r="H4">
        <f>SUMIFS(Kamper!$E:$E,Kamper!$B:$B,$B4)+SUMIFS(Kamper!$D:$D,Kamper!$C:$C,$B4)</f>
        <v/>
      </c>
      <c r="I4">
        <f>D4*3+E4</f>
        <v/>
      </c>
      <c r="J4">
        <f>I4*1000+(G4-H4)</f>
        <v/>
      </c>
    </row>
    <row r="5">
      <c r="A5">
        <f>RANK(J5,$J$2:$J$16,0)+COUNTIF($J$2:J5,J5)-1</f>
        <v/>
      </c>
      <c r="B5" t="inlineStr">
        <is>
          <t>Croatia</t>
        </is>
      </c>
      <c r="C5">
        <f>D5+E5+F5</f>
        <v/>
      </c>
      <c r="D5">
        <f>SUMPRODUCT((Kamper!$B$2:$B$5000=$B5)*(Kamper!$D$2:$D$5000&gt;Kamper!$E$2:$E$5000))+SUMPRODUCT((Kamper!$C$2:$C$5000=$B5)*(Kamper!$E$2:$E$5000&gt;Kamper!$D$2:$D$5000))</f>
        <v/>
      </c>
      <c r="E5">
        <f>SUMPRODUCT((Kamper!$B$2:$B$5000=$B5)*(Kamper!$D$2:$D$5000=Kamper!$E$2:$E$5000))+SUMPRODUCT((Kamper!$C$2:$C$5000=$B5)*(Kamper!$E$2:$E$5000=Kamper!$D$2:$D$5000))</f>
        <v/>
      </c>
      <c r="F5">
        <f>SUMPRODUCT((Kamper!$B$2:$B$5000=$B5)*(Kamper!$D$2:$D$5000&lt;Kamper!$E$2:$E$5000))+SUMPRODUCT((Kamper!$C$2:$C$5000=$B5)*(Kamper!$E$2:$E$5000&lt;Kamper!$D$2:$D$5000))</f>
        <v/>
      </c>
      <c r="G5">
        <f>SUMIFS(Kamper!$D:$D,Kamper!$B:$B,$B5)+SUMIFS(Kamper!$E:$E,Kamper!$C:$C,$B5)</f>
        <v/>
      </c>
      <c r="H5">
        <f>SUMIFS(Kamper!$E:$E,Kamper!$B:$B,$B5)+SUMIFS(Kamper!$D:$D,Kamper!$C:$C,$B5)</f>
        <v/>
      </c>
      <c r="I5">
        <f>D5*3+E5</f>
        <v/>
      </c>
      <c r="J5">
        <f>I5*1000+(G5-H5)</f>
        <v/>
      </c>
    </row>
    <row r="6">
      <c r="A6">
        <f>RANK(J6,$J$2:$J$16,0)+COUNTIF($J$2:J6,J6)-1</f>
        <v/>
      </c>
      <c r="B6" t="inlineStr">
        <is>
          <t>Czechoslovakia</t>
        </is>
      </c>
      <c r="C6">
        <f>D6+E6+F6</f>
        <v/>
      </c>
      <c r="D6">
        <f>SUMPRODUCT((Kamper!$B$2:$B$5000=$B6)*(Kamper!$D$2:$D$5000&gt;Kamper!$E$2:$E$5000))+SUMPRODUCT((Kamper!$C$2:$C$5000=$B6)*(Kamper!$E$2:$E$5000&gt;Kamper!$D$2:$D$5000))</f>
        <v/>
      </c>
      <c r="E6">
        <f>SUMPRODUCT((Kamper!$B$2:$B$5000=$B6)*(Kamper!$D$2:$D$5000=Kamper!$E$2:$E$5000))+SUMPRODUCT((Kamper!$C$2:$C$5000=$B6)*(Kamper!$E$2:$E$5000=Kamper!$D$2:$D$5000))</f>
        <v/>
      </c>
      <c r="F6">
        <f>SUMPRODUCT((Kamper!$B$2:$B$5000=$B6)*(Kamper!$D$2:$D$5000&lt;Kamper!$E$2:$E$5000))+SUMPRODUCT((Kamper!$C$2:$C$5000=$B6)*(Kamper!$E$2:$E$5000&lt;Kamper!$D$2:$D$5000))</f>
        <v/>
      </c>
      <c r="G6">
        <f>SUMIFS(Kamper!$D:$D,Kamper!$B:$B,$B6)+SUMIFS(Kamper!$E:$E,Kamper!$C:$C,$B6)</f>
        <v/>
      </c>
      <c r="H6">
        <f>SUMIFS(Kamper!$E:$E,Kamper!$B:$B,$B6)+SUMIFS(Kamper!$D:$D,Kamper!$C:$C,$B6)</f>
        <v/>
      </c>
      <c r="I6">
        <f>D6*3+E6</f>
        <v/>
      </c>
      <c r="J6">
        <f>I6*1000+(G6-H6)</f>
        <v/>
      </c>
    </row>
    <row r="7">
      <c r="A7">
        <f>RANK(J7,$J$2:$J$16,0)+COUNTIF($J$2:J7,J7)-1</f>
        <v/>
      </c>
      <c r="B7" t="inlineStr">
        <is>
          <t>England</t>
        </is>
      </c>
      <c r="C7">
        <f>D7+E7+F7</f>
        <v/>
      </c>
      <c r="D7">
        <f>SUMPRODUCT((Kamper!$B$2:$B$5000=$B7)*(Kamper!$D$2:$D$5000&gt;Kamper!$E$2:$E$5000))+SUMPRODUCT((Kamper!$C$2:$C$5000=$B7)*(Kamper!$E$2:$E$5000&gt;Kamper!$D$2:$D$5000))</f>
        <v/>
      </c>
      <c r="E7">
        <f>SUMPRODUCT((Kamper!$B$2:$B$5000=$B7)*(Kamper!$D$2:$D$5000=Kamper!$E$2:$E$5000))+SUMPRODUCT((Kamper!$C$2:$C$5000=$B7)*(Kamper!$E$2:$E$5000=Kamper!$D$2:$D$5000))</f>
        <v/>
      </c>
      <c r="F7">
        <f>SUMPRODUCT((Kamper!$B$2:$B$5000=$B7)*(Kamper!$D$2:$D$5000&lt;Kamper!$E$2:$E$5000))+SUMPRODUCT((Kamper!$C$2:$C$5000=$B7)*(Kamper!$E$2:$E$5000&lt;Kamper!$D$2:$D$5000))</f>
        <v/>
      </c>
      <c r="G7">
        <f>SUMIFS(Kamper!$D:$D,Kamper!$B:$B,$B7)+SUMIFS(Kamper!$E:$E,Kamper!$C:$C,$B7)</f>
        <v/>
      </c>
      <c r="H7">
        <f>SUMIFS(Kamper!$E:$E,Kamper!$B:$B,$B7)+SUMIFS(Kamper!$D:$D,Kamper!$C:$C,$B7)</f>
        <v/>
      </c>
      <c r="I7">
        <f>D7*3+E7</f>
        <v/>
      </c>
      <c r="J7">
        <f>I7*1000+(G7-H7)</f>
        <v/>
      </c>
    </row>
    <row r="8">
      <c r="A8">
        <f>RANK(J8,$J$2:$J$16,0)+COUNTIF($J$2:J8,J8)-1</f>
        <v/>
      </c>
      <c r="B8" t="inlineStr">
        <is>
          <t>France</t>
        </is>
      </c>
      <c r="C8">
        <f>D8+E8+F8</f>
        <v/>
      </c>
      <c r="D8">
        <f>SUMPRODUCT((Kamper!$B$2:$B$5000=$B8)*(Kamper!$D$2:$D$5000&gt;Kamper!$E$2:$E$5000))+SUMPRODUCT((Kamper!$C$2:$C$5000=$B8)*(Kamper!$E$2:$E$5000&gt;Kamper!$D$2:$D$5000))</f>
        <v/>
      </c>
      <c r="E8">
        <f>SUMPRODUCT((Kamper!$B$2:$B$5000=$B8)*(Kamper!$D$2:$D$5000=Kamper!$E$2:$E$5000))+SUMPRODUCT((Kamper!$C$2:$C$5000=$B8)*(Kamper!$E$2:$E$5000=Kamper!$D$2:$D$5000))</f>
        <v/>
      </c>
      <c r="F8">
        <f>SUMPRODUCT((Kamper!$B$2:$B$5000=$B8)*(Kamper!$D$2:$D$5000&lt;Kamper!$E$2:$E$5000))+SUMPRODUCT((Kamper!$C$2:$C$5000=$B8)*(Kamper!$E$2:$E$5000&lt;Kamper!$D$2:$D$5000))</f>
        <v/>
      </c>
      <c r="G8">
        <f>SUMIFS(Kamper!$D:$D,Kamper!$B:$B,$B8)+SUMIFS(Kamper!$E:$E,Kamper!$C:$C,$B8)</f>
        <v/>
      </c>
      <c r="H8">
        <f>SUMIFS(Kamper!$E:$E,Kamper!$B:$B,$B8)+SUMIFS(Kamper!$D:$D,Kamper!$C:$C,$B8)</f>
        <v/>
      </c>
      <c r="I8">
        <f>D8*3+E8</f>
        <v/>
      </c>
      <c r="J8">
        <f>I8*1000+(G8-H8)</f>
        <v/>
      </c>
    </row>
    <row r="9">
      <c r="A9">
        <f>RANK(J9,$J$2:$J$16,0)+COUNTIF($J$2:J9,J9)-1</f>
        <v/>
      </c>
      <c r="B9" t="inlineStr">
        <is>
          <t>Germany</t>
        </is>
      </c>
      <c r="C9">
        <f>D9+E9+F9</f>
        <v/>
      </c>
      <c r="D9">
        <f>SUMPRODUCT((Kamper!$B$2:$B$5000=$B9)*(Kamper!$D$2:$D$5000&gt;Kamper!$E$2:$E$5000))+SUMPRODUCT((Kamper!$C$2:$C$5000=$B9)*(Kamper!$E$2:$E$5000&gt;Kamper!$D$2:$D$5000))</f>
        <v/>
      </c>
      <c r="E9">
        <f>SUMPRODUCT((Kamper!$B$2:$B$5000=$B9)*(Kamper!$D$2:$D$5000=Kamper!$E$2:$E$5000))+SUMPRODUCT((Kamper!$C$2:$C$5000=$B9)*(Kamper!$E$2:$E$5000=Kamper!$D$2:$D$5000))</f>
        <v/>
      </c>
      <c r="F9">
        <f>SUMPRODUCT((Kamper!$B$2:$B$5000=$B9)*(Kamper!$D$2:$D$5000&lt;Kamper!$E$2:$E$5000))+SUMPRODUCT((Kamper!$C$2:$C$5000=$B9)*(Kamper!$E$2:$E$5000&lt;Kamper!$D$2:$D$5000))</f>
        <v/>
      </c>
      <c r="G9">
        <f>SUMIFS(Kamper!$D:$D,Kamper!$B:$B,$B9)+SUMIFS(Kamper!$E:$E,Kamper!$C:$C,$B9)</f>
        <v/>
      </c>
      <c r="H9">
        <f>SUMIFS(Kamper!$E:$E,Kamper!$B:$B,$B9)+SUMIFS(Kamper!$D:$D,Kamper!$C:$C,$B9)</f>
        <v/>
      </c>
      <c r="I9">
        <f>D9*3+E9</f>
        <v/>
      </c>
      <c r="J9">
        <f>I9*1000+(G9-H9)</f>
        <v/>
      </c>
    </row>
    <row r="10">
      <c r="A10">
        <f>RANK(J10,$J$2:$J$16,0)+COUNTIF($J$2:J10,J10)-1</f>
        <v/>
      </c>
      <c r="B10" t="inlineStr">
        <is>
          <t>Hungary</t>
        </is>
      </c>
      <c r="C10">
        <f>D10+E10+F10</f>
        <v/>
      </c>
      <c r="D10">
        <f>SUMPRODUCT((Kamper!$B$2:$B$5000=$B10)*(Kamper!$D$2:$D$5000&gt;Kamper!$E$2:$E$5000))+SUMPRODUCT((Kamper!$C$2:$C$5000=$B10)*(Kamper!$E$2:$E$5000&gt;Kamper!$D$2:$D$5000))</f>
        <v/>
      </c>
      <c r="E10">
        <f>SUMPRODUCT((Kamper!$B$2:$B$5000=$B10)*(Kamper!$D$2:$D$5000=Kamper!$E$2:$E$5000))+SUMPRODUCT((Kamper!$C$2:$C$5000=$B10)*(Kamper!$E$2:$E$5000=Kamper!$D$2:$D$5000))</f>
        <v/>
      </c>
      <c r="F10">
        <f>SUMPRODUCT((Kamper!$B$2:$B$5000=$B10)*(Kamper!$D$2:$D$5000&lt;Kamper!$E$2:$E$5000))+SUMPRODUCT((Kamper!$C$2:$C$5000=$B10)*(Kamper!$E$2:$E$5000&lt;Kamper!$D$2:$D$5000))</f>
        <v/>
      </c>
      <c r="G10">
        <f>SUMIFS(Kamper!$D:$D,Kamper!$B:$B,$B10)+SUMIFS(Kamper!$E:$E,Kamper!$C:$C,$B10)</f>
        <v/>
      </c>
      <c r="H10">
        <f>SUMIFS(Kamper!$E:$E,Kamper!$B:$B,$B10)+SUMIFS(Kamper!$D:$D,Kamper!$C:$C,$B10)</f>
        <v/>
      </c>
      <c r="I10">
        <f>D10*3+E10</f>
        <v/>
      </c>
      <c r="J10">
        <f>I10*1000+(G10-H10)</f>
        <v/>
      </c>
    </row>
    <row r="11">
      <c r="A11">
        <f>RANK(J11,$J$2:$J$16,0)+COUNTIF($J$2:J11,J11)-1</f>
        <v/>
      </c>
      <c r="B11" t="inlineStr">
        <is>
          <t>Italy</t>
        </is>
      </c>
      <c r="C11">
        <f>D11+E11+F11</f>
        <v/>
      </c>
      <c r="D11">
        <f>SUMPRODUCT((Kamper!$B$2:$B$5000=$B11)*(Kamper!$D$2:$D$5000&gt;Kamper!$E$2:$E$5000))+SUMPRODUCT((Kamper!$C$2:$C$5000=$B11)*(Kamper!$E$2:$E$5000&gt;Kamper!$D$2:$D$5000))</f>
        <v/>
      </c>
      <c r="E11">
        <f>SUMPRODUCT((Kamper!$B$2:$B$5000=$B11)*(Kamper!$D$2:$D$5000=Kamper!$E$2:$E$5000))+SUMPRODUCT((Kamper!$C$2:$C$5000=$B11)*(Kamper!$E$2:$E$5000=Kamper!$D$2:$D$5000))</f>
        <v/>
      </c>
      <c r="F11">
        <f>SUMPRODUCT((Kamper!$B$2:$B$5000=$B11)*(Kamper!$D$2:$D$5000&lt;Kamper!$E$2:$E$5000))+SUMPRODUCT((Kamper!$C$2:$C$5000=$B11)*(Kamper!$E$2:$E$5000&lt;Kamper!$D$2:$D$5000))</f>
        <v/>
      </c>
      <c r="G11">
        <f>SUMIFS(Kamper!$D:$D,Kamper!$B:$B,$B11)+SUMIFS(Kamper!$E:$E,Kamper!$C:$C,$B11)</f>
        <v/>
      </c>
      <c r="H11">
        <f>SUMIFS(Kamper!$E:$E,Kamper!$B:$B,$B11)+SUMIFS(Kamper!$D:$D,Kamper!$C:$C,$B11)</f>
        <v/>
      </c>
      <c r="I11">
        <f>D11*3+E11</f>
        <v/>
      </c>
      <c r="J11">
        <f>I11*1000+(G11-H11)</f>
        <v/>
      </c>
    </row>
    <row r="12">
      <c r="A12">
        <f>RANK(J12,$J$2:$J$16,0)+COUNTIF($J$2:J12,J12)-1</f>
        <v/>
      </c>
      <c r="B12" t="inlineStr">
        <is>
          <t>Multiple</t>
        </is>
      </c>
      <c r="C12">
        <f>D12+E12+F12</f>
        <v/>
      </c>
      <c r="D12">
        <f>SUMPRODUCT((Kamper!$B$2:$B$5000=$B12)*(Kamper!$D$2:$D$5000&gt;Kamper!$E$2:$E$5000))+SUMPRODUCT((Kamper!$C$2:$C$5000=$B12)*(Kamper!$E$2:$E$5000&gt;Kamper!$D$2:$D$5000))</f>
        <v/>
      </c>
      <c r="E12">
        <f>SUMPRODUCT((Kamper!$B$2:$B$5000=$B12)*(Kamper!$D$2:$D$5000=Kamper!$E$2:$E$5000))+SUMPRODUCT((Kamper!$C$2:$C$5000=$B12)*(Kamper!$E$2:$E$5000=Kamper!$D$2:$D$5000))</f>
        <v/>
      </c>
      <c r="F12">
        <f>SUMPRODUCT((Kamper!$B$2:$B$5000=$B12)*(Kamper!$D$2:$D$5000&lt;Kamper!$E$2:$E$5000))+SUMPRODUCT((Kamper!$C$2:$C$5000=$B12)*(Kamper!$E$2:$E$5000&lt;Kamper!$D$2:$D$5000))</f>
        <v/>
      </c>
      <c r="G12">
        <f>SUMIFS(Kamper!$D:$D,Kamper!$B:$B,$B12)+SUMIFS(Kamper!$E:$E,Kamper!$C:$C,$B12)</f>
        <v/>
      </c>
      <c r="H12">
        <f>SUMIFS(Kamper!$E:$E,Kamper!$B:$B,$B12)+SUMIFS(Kamper!$D:$D,Kamper!$C:$C,$B12)</f>
        <v/>
      </c>
      <c r="I12">
        <f>D12*3+E12</f>
        <v/>
      </c>
      <c r="J12">
        <f>I12*1000+(G12-H12)</f>
        <v/>
      </c>
    </row>
    <row r="13">
      <c r="A13">
        <f>RANK(J13,$J$2:$J$16,0)+COUNTIF($J$2:J13,J13)-1</f>
        <v/>
      </c>
      <c r="B13" t="inlineStr">
        <is>
          <t>Poland</t>
        </is>
      </c>
      <c r="C13">
        <f>D13+E13+F13</f>
        <v/>
      </c>
      <c r="D13">
        <f>SUMPRODUCT((Kamper!$B$2:$B$5000=$B13)*(Kamper!$D$2:$D$5000&gt;Kamper!$E$2:$E$5000))+SUMPRODUCT((Kamper!$C$2:$C$5000=$B13)*(Kamper!$E$2:$E$5000&gt;Kamper!$D$2:$D$5000))</f>
        <v/>
      </c>
      <c r="E13">
        <f>SUMPRODUCT((Kamper!$B$2:$B$5000=$B13)*(Kamper!$D$2:$D$5000=Kamper!$E$2:$E$5000))+SUMPRODUCT((Kamper!$C$2:$C$5000=$B13)*(Kamper!$E$2:$E$5000=Kamper!$D$2:$D$5000))</f>
        <v/>
      </c>
      <c r="F13">
        <f>SUMPRODUCT((Kamper!$B$2:$B$5000=$B13)*(Kamper!$D$2:$D$5000&lt;Kamper!$E$2:$E$5000))+SUMPRODUCT((Kamper!$C$2:$C$5000=$B13)*(Kamper!$E$2:$E$5000&lt;Kamper!$D$2:$D$5000))</f>
        <v/>
      </c>
      <c r="G13">
        <f>SUMIFS(Kamper!$D:$D,Kamper!$B:$B,$B13)+SUMIFS(Kamper!$E:$E,Kamper!$C:$C,$B13)</f>
        <v/>
      </c>
      <c r="H13">
        <f>SUMIFS(Kamper!$E:$E,Kamper!$B:$B,$B13)+SUMIFS(Kamper!$D:$D,Kamper!$C:$C,$B13)</f>
        <v/>
      </c>
      <c r="I13">
        <f>D13*3+E13</f>
        <v/>
      </c>
      <c r="J13">
        <f>I13*1000+(G13-H13)</f>
        <v/>
      </c>
    </row>
    <row r="14">
      <c r="A14">
        <f>RANK(J14,$J$2:$J$16,0)+COUNTIF($J$2:J14,J14)-1</f>
        <v/>
      </c>
      <c r="B14" t="inlineStr">
        <is>
          <t>Portugal</t>
        </is>
      </c>
      <c r="C14">
        <f>D14+E14+F14</f>
        <v/>
      </c>
      <c r="D14">
        <f>SUMPRODUCT((Kamper!$B$2:$B$5000=$B14)*(Kamper!$D$2:$D$5000&gt;Kamper!$E$2:$E$5000))+SUMPRODUCT((Kamper!$C$2:$C$5000=$B14)*(Kamper!$E$2:$E$5000&gt;Kamper!$D$2:$D$5000))</f>
        <v/>
      </c>
      <c r="E14">
        <f>SUMPRODUCT((Kamper!$B$2:$B$5000=$B14)*(Kamper!$D$2:$D$5000=Kamper!$E$2:$E$5000))+SUMPRODUCT((Kamper!$C$2:$C$5000=$B14)*(Kamper!$E$2:$E$5000=Kamper!$D$2:$D$5000))</f>
        <v/>
      </c>
      <c r="F14">
        <f>SUMPRODUCT((Kamper!$B$2:$B$5000=$B14)*(Kamper!$D$2:$D$5000&lt;Kamper!$E$2:$E$5000))+SUMPRODUCT((Kamper!$C$2:$C$5000=$B14)*(Kamper!$E$2:$E$5000&lt;Kamper!$D$2:$D$5000))</f>
        <v/>
      </c>
      <c r="G14">
        <f>SUMIFS(Kamper!$D:$D,Kamper!$B:$B,$B14)+SUMIFS(Kamper!$E:$E,Kamper!$C:$C,$B14)</f>
        <v/>
      </c>
      <c r="H14">
        <f>SUMIFS(Kamper!$E:$E,Kamper!$B:$B,$B14)+SUMIFS(Kamper!$D:$D,Kamper!$C:$C,$B14)</f>
        <v/>
      </c>
      <c r="I14">
        <f>D14*3+E14</f>
        <v/>
      </c>
      <c r="J14">
        <f>I14*1000+(G14-H14)</f>
        <v/>
      </c>
    </row>
    <row r="15">
      <c r="A15">
        <f>RANK(J15,$J$2:$J$16,0)+COUNTIF($J$2:J15,J15)-1</f>
        <v/>
      </c>
      <c r="B15" t="inlineStr">
        <is>
          <t>Russia / Bulgaria</t>
        </is>
      </c>
      <c r="C15">
        <f>D15+E15+F15</f>
        <v/>
      </c>
      <c r="D15">
        <f>SUMPRODUCT((Kamper!$B$2:$B$5000=$B15)*(Kamper!$D$2:$D$5000&gt;Kamper!$E$2:$E$5000))+SUMPRODUCT((Kamper!$C$2:$C$5000=$B15)*(Kamper!$E$2:$E$5000&gt;Kamper!$D$2:$D$5000))</f>
        <v/>
      </c>
      <c r="E15">
        <f>SUMPRODUCT((Kamper!$B$2:$B$5000=$B15)*(Kamper!$D$2:$D$5000=Kamper!$E$2:$E$5000))+SUMPRODUCT((Kamper!$C$2:$C$5000=$B15)*(Kamper!$E$2:$E$5000=Kamper!$D$2:$D$5000))</f>
        <v/>
      </c>
      <c r="F15">
        <f>SUMPRODUCT((Kamper!$B$2:$B$5000=$B15)*(Kamper!$D$2:$D$5000&lt;Kamper!$E$2:$E$5000))+SUMPRODUCT((Kamper!$C$2:$C$5000=$B15)*(Kamper!$E$2:$E$5000&lt;Kamper!$D$2:$D$5000))</f>
        <v/>
      </c>
      <c r="G15">
        <f>SUMIFS(Kamper!$D:$D,Kamper!$B:$B,$B15)+SUMIFS(Kamper!$E:$E,Kamper!$C:$C,$B15)</f>
        <v/>
      </c>
      <c r="H15">
        <f>SUMIFS(Kamper!$E:$E,Kamper!$B:$B,$B15)+SUMIFS(Kamper!$D:$D,Kamper!$C:$C,$B15)</f>
        <v/>
      </c>
      <c r="I15">
        <f>D15*3+E15</f>
        <v/>
      </c>
      <c r="J15">
        <f>I15*1000+(G15-H15)</f>
        <v/>
      </c>
    </row>
    <row r="16">
      <c r="A16">
        <f>RANK(J16,$J$2:$J$16,0)+COUNTIF($J$2:J16,J16)-1</f>
        <v/>
      </c>
      <c r="B16" t="inlineStr">
        <is>
          <t>West Germany</t>
        </is>
      </c>
      <c r="C16">
        <f>D16+E16+F16</f>
        <v/>
      </c>
      <c r="D16">
        <f>SUMPRODUCT((Kamper!$B$2:$B$5000=$B16)*(Kamper!$D$2:$D$5000&gt;Kamper!$E$2:$E$5000))+SUMPRODUCT((Kamper!$C$2:$C$5000=$B16)*(Kamper!$E$2:$E$5000&gt;Kamper!$D$2:$D$5000))</f>
        <v/>
      </c>
      <c r="E16">
        <f>SUMPRODUCT((Kamper!$B$2:$B$5000=$B16)*(Kamper!$D$2:$D$5000=Kamper!$E$2:$E$5000))+SUMPRODUCT((Kamper!$C$2:$C$5000=$B16)*(Kamper!$E$2:$E$5000=Kamper!$D$2:$D$5000))</f>
        <v/>
      </c>
      <c r="F16">
        <f>SUMPRODUCT((Kamper!$B$2:$B$5000=$B16)*(Kamper!$D$2:$D$5000&lt;Kamper!$E$2:$E$5000))+SUMPRODUCT((Kamper!$C$2:$C$5000=$B16)*(Kamper!$E$2:$E$5000&lt;Kamper!$D$2:$D$5000))</f>
        <v/>
      </c>
      <c r="G16">
        <f>SUMIFS(Kamper!$D:$D,Kamper!$B:$B,$B16)+SUMIFS(Kamper!$E:$E,Kamper!$C:$C,$B16)</f>
        <v/>
      </c>
      <c r="H16">
        <f>SUMIFS(Kamper!$E:$E,Kamper!$B:$B,$B16)+SUMIFS(Kamper!$D:$D,Kamper!$C:$C,$B16)</f>
        <v/>
      </c>
      <c r="I16">
        <f>D16*3+E16</f>
        <v/>
      </c>
      <c r="J16">
        <f>I16*1000+(G16-H16)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</cols>
  <sheetData>
    <row r="1">
      <c r="A1" s="2" t="inlineStr">
        <is>
          <t>Pos</t>
        </is>
      </c>
      <c r="B1" s="2" t="inlineStr">
        <is>
          <t>Team</t>
        </is>
      </c>
      <c r="C1" s="2" t="inlineStr">
        <is>
          <t>MP</t>
        </is>
      </c>
      <c r="D1" s="2" t="inlineStr">
        <is>
          <t>W</t>
        </is>
      </c>
      <c r="E1" s="2" t="inlineStr">
        <is>
          <t>D</t>
        </is>
      </c>
      <c r="F1" s="2" t="inlineStr">
        <is>
          <t>L</t>
        </is>
      </c>
      <c r="G1" s="2" t="inlineStr">
        <is>
          <t>GF</t>
        </is>
      </c>
      <c r="H1" s="2" t="inlineStr">
        <is>
          <t>GA</t>
        </is>
      </c>
      <c r="I1" s="2" t="inlineStr">
        <is>
          <t>Pts</t>
        </is>
      </c>
    </row>
    <row r="2">
      <c r="A2" t="n">
        <v>1</v>
      </c>
      <c r="B2">
        <f>IFERROR(INDEX(Tabell!$B$2:$B$16,MATCH($A2,Tabell!$A$2:$A$16,0)),"")</f>
        <v/>
      </c>
      <c r="C2">
        <f>IFERROR(INDEX(Tabell!$C$2:$C$16,MATCH($A2,Tabell!$A$2:$A$16,0)),"")</f>
        <v/>
      </c>
      <c r="D2">
        <f>IFERROR(INDEX(Tabell!$D$2:$D$16,MATCH($A2,Tabell!$A$2:$A$16,0)),"")</f>
        <v/>
      </c>
      <c r="E2">
        <f>IFERROR(INDEX(Tabell!$E$2:$E$16,MATCH($A2,Tabell!$A$2:$A$16,0)),"")</f>
        <v/>
      </c>
      <c r="F2">
        <f>IFERROR(INDEX(Tabell!$F$2:$F$16,MATCH($A2,Tabell!$A$2:$A$16,0)),"")</f>
        <v/>
      </c>
      <c r="G2">
        <f>IFERROR(INDEX(Tabell!$G$2:$G$16,MATCH($A2,Tabell!$A$2:$A$16,0)),"")</f>
        <v/>
      </c>
      <c r="H2">
        <f>IFERROR(INDEX(Tabell!$H$2:$H$16,MATCH($A2,Tabell!$A$2:$A$16,0)),"")</f>
        <v/>
      </c>
      <c r="I2">
        <f>IFERROR(INDEX(Tabell!$I$2:$I$16,MATCH($A2,Tabell!$A$2:$A$16,0)),"")</f>
        <v/>
      </c>
    </row>
    <row r="3">
      <c r="A3" t="n">
        <v>2</v>
      </c>
      <c r="B3">
        <f>IFERROR(INDEX(Tabell!$B$2:$B$16,MATCH($A3,Tabell!$A$2:$A$16,0)),"")</f>
        <v/>
      </c>
      <c r="C3">
        <f>IFERROR(INDEX(Tabell!$C$2:$C$16,MATCH($A3,Tabell!$A$2:$A$16,0)),"")</f>
        <v/>
      </c>
      <c r="D3">
        <f>IFERROR(INDEX(Tabell!$D$2:$D$16,MATCH($A3,Tabell!$A$2:$A$16,0)),"")</f>
        <v/>
      </c>
      <c r="E3">
        <f>IFERROR(INDEX(Tabell!$E$2:$E$16,MATCH($A3,Tabell!$A$2:$A$16,0)),"")</f>
        <v/>
      </c>
      <c r="F3">
        <f>IFERROR(INDEX(Tabell!$F$2:$F$16,MATCH($A3,Tabell!$A$2:$A$16,0)),"")</f>
        <v/>
      </c>
      <c r="G3">
        <f>IFERROR(INDEX(Tabell!$G$2:$G$16,MATCH($A3,Tabell!$A$2:$A$16,0)),"")</f>
        <v/>
      </c>
      <c r="H3">
        <f>IFERROR(INDEX(Tabell!$H$2:$H$16,MATCH($A3,Tabell!$A$2:$A$16,0)),"")</f>
        <v/>
      </c>
      <c r="I3">
        <f>IFERROR(INDEX(Tabell!$I$2:$I$16,MATCH($A3,Tabell!$A$2:$A$16,0)),"")</f>
        <v/>
      </c>
    </row>
    <row r="4">
      <c r="A4" t="n">
        <v>3</v>
      </c>
      <c r="B4">
        <f>IFERROR(INDEX(Tabell!$B$2:$B$16,MATCH($A4,Tabell!$A$2:$A$16,0)),"")</f>
        <v/>
      </c>
      <c r="C4">
        <f>IFERROR(INDEX(Tabell!$C$2:$C$16,MATCH($A4,Tabell!$A$2:$A$16,0)),"")</f>
        <v/>
      </c>
      <c r="D4">
        <f>IFERROR(INDEX(Tabell!$D$2:$D$16,MATCH($A4,Tabell!$A$2:$A$16,0)),"")</f>
        <v/>
      </c>
      <c r="E4">
        <f>IFERROR(INDEX(Tabell!$E$2:$E$16,MATCH($A4,Tabell!$A$2:$A$16,0)),"")</f>
        <v/>
      </c>
      <c r="F4">
        <f>IFERROR(INDEX(Tabell!$F$2:$F$16,MATCH($A4,Tabell!$A$2:$A$16,0)),"")</f>
        <v/>
      </c>
      <c r="G4">
        <f>IFERROR(INDEX(Tabell!$G$2:$G$16,MATCH($A4,Tabell!$A$2:$A$16,0)),"")</f>
        <v/>
      </c>
      <c r="H4">
        <f>IFERROR(INDEX(Tabell!$H$2:$H$16,MATCH($A4,Tabell!$A$2:$A$16,0)),"")</f>
        <v/>
      </c>
      <c r="I4">
        <f>IFERROR(INDEX(Tabell!$I$2:$I$16,MATCH($A4,Tabell!$A$2:$A$16,0)),"")</f>
        <v/>
      </c>
    </row>
    <row r="5">
      <c r="A5" t="n">
        <v>4</v>
      </c>
      <c r="B5">
        <f>IFERROR(INDEX(Tabell!$B$2:$B$16,MATCH($A5,Tabell!$A$2:$A$16,0)),"")</f>
        <v/>
      </c>
      <c r="C5">
        <f>IFERROR(INDEX(Tabell!$C$2:$C$16,MATCH($A5,Tabell!$A$2:$A$16,0)),"")</f>
        <v/>
      </c>
      <c r="D5">
        <f>IFERROR(INDEX(Tabell!$D$2:$D$16,MATCH($A5,Tabell!$A$2:$A$16,0)),"")</f>
        <v/>
      </c>
      <c r="E5">
        <f>IFERROR(INDEX(Tabell!$E$2:$E$16,MATCH($A5,Tabell!$A$2:$A$16,0)),"")</f>
        <v/>
      </c>
      <c r="F5">
        <f>IFERROR(INDEX(Tabell!$F$2:$F$16,MATCH($A5,Tabell!$A$2:$A$16,0)),"")</f>
        <v/>
      </c>
      <c r="G5">
        <f>IFERROR(INDEX(Tabell!$G$2:$G$16,MATCH($A5,Tabell!$A$2:$A$16,0)),"")</f>
        <v/>
      </c>
      <c r="H5">
        <f>IFERROR(INDEX(Tabell!$H$2:$H$16,MATCH($A5,Tabell!$A$2:$A$16,0)),"")</f>
        <v/>
      </c>
      <c r="I5">
        <f>IFERROR(INDEX(Tabell!$I$2:$I$16,MATCH($A5,Tabell!$A$2:$A$16,0)),"")</f>
        <v/>
      </c>
    </row>
    <row r="6">
      <c r="A6" t="n">
        <v>5</v>
      </c>
      <c r="B6">
        <f>IFERROR(INDEX(Tabell!$B$2:$B$16,MATCH($A6,Tabell!$A$2:$A$16,0)),"")</f>
        <v/>
      </c>
      <c r="C6">
        <f>IFERROR(INDEX(Tabell!$C$2:$C$16,MATCH($A6,Tabell!$A$2:$A$16,0)),"")</f>
        <v/>
      </c>
      <c r="D6">
        <f>IFERROR(INDEX(Tabell!$D$2:$D$16,MATCH($A6,Tabell!$A$2:$A$16,0)),"")</f>
        <v/>
      </c>
      <c r="E6">
        <f>IFERROR(INDEX(Tabell!$E$2:$E$16,MATCH($A6,Tabell!$A$2:$A$16,0)),"")</f>
        <v/>
      </c>
      <c r="F6">
        <f>IFERROR(INDEX(Tabell!$F$2:$F$16,MATCH($A6,Tabell!$A$2:$A$16,0)),"")</f>
        <v/>
      </c>
      <c r="G6">
        <f>IFERROR(INDEX(Tabell!$G$2:$G$16,MATCH($A6,Tabell!$A$2:$A$16,0)),"")</f>
        <v/>
      </c>
      <c r="H6">
        <f>IFERROR(INDEX(Tabell!$H$2:$H$16,MATCH($A6,Tabell!$A$2:$A$16,0)),"")</f>
        <v/>
      </c>
      <c r="I6">
        <f>IFERROR(INDEX(Tabell!$I$2:$I$16,MATCH($A6,Tabell!$A$2:$A$16,0)),"")</f>
        <v/>
      </c>
    </row>
    <row r="7">
      <c r="A7" t="n">
        <v>6</v>
      </c>
      <c r="B7">
        <f>IFERROR(INDEX(Tabell!$B$2:$B$16,MATCH($A7,Tabell!$A$2:$A$16,0)),"")</f>
        <v/>
      </c>
      <c r="C7">
        <f>IFERROR(INDEX(Tabell!$C$2:$C$16,MATCH($A7,Tabell!$A$2:$A$16,0)),"")</f>
        <v/>
      </c>
      <c r="D7">
        <f>IFERROR(INDEX(Tabell!$D$2:$D$16,MATCH($A7,Tabell!$A$2:$A$16,0)),"")</f>
        <v/>
      </c>
      <c r="E7">
        <f>IFERROR(INDEX(Tabell!$E$2:$E$16,MATCH($A7,Tabell!$A$2:$A$16,0)),"")</f>
        <v/>
      </c>
      <c r="F7">
        <f>IFERROR(INDEX(Tabell!$F$2:$F$16,MATCH($A7,Tabell!$A$2:$A$16,0)),"")</f>
        <v/>
      </c>
      <c r="G7">
        <f>IFERROR(INDEX(Tabell!$G$2:$G$16,MATCH($A7,Tabell!$A$2:$A$16,0)),"")</f>
        <v/>
      </c>
      <c r="H7">
        <f>IFERROR(INDEX(Tabell!$H$2:$H$16,MATCH($A7,Tabell!$A$2:$A$16,0)),"")</f>
        <v/>
      </c>
      <c r="I7">
        <f>IFERROR(INDEX(Tabell!$I$2:$I$16,MATCH($A7,Tabell!$A$2:$A$16,0)),"")</f>
        <v/>
      </c>
    </row>
    <row r="8">
      <c r="A8" t="n">
        <v>7</v>
      </c>
      <c r="B8">
        <f>IFERROR(INDEX(Tabell!$B$2:$B$16,MATCH($A8,Tabell!$A$2:$A$16,0)),"")</f>
        <v/>
      </c>
      <c r="C8">
        <f>IFERROR(INDEX(Tabell!$C$2:$C$16,MATCH($A8,Tabell!$A$2:$A$16,0)),"")</f>
        <v/>
      </c>
      <c r="D8">
        <f>IFERROR(INDEX(Tabell!$D$2:$D$16,MATCH($A8,Tabell!$A$2:$A$16,0)),"")</f>
        <v/>
      </c>
      <c r="E8">
        <f>IFERROR(INDEX(Tabell!$E$2:$E$16,MATCH($A8,Tabell!$A$2:$A$16,0)),"")</f>
        <v/>
      </c>
      <c r="F8">
        <f>IFERROR(INDEX(Tabell!$F$2:$F$16,MATCH($A8,Tabell!$A$2:$A$16,0)),"")</f>
        <v/>
      </c>
      <c r="G8">
        <f>IFERROR(INDEX(Tabell!$G$2:$G$16,MATCH($A8,Tabell!$A$2:$A$16,0)),"")</f>
        <v/>
      </c>
      <c r="H8">
        <f>IFERROR(INDEX(Tabell!$H$2:$H$16,MATCH($A8,Tabell!$A$2:$A$16,0)),"")</f>
        <v/>
      </c>
      <c r="I8">
        <f>IFERROR(INDEX(Tabell!$I$2:$I$16,MATCH($A8,Tabell!$A$2:$A$16,0)),"")</f>
        <v/>
      </c>
    </row>
    <row r="9">
      <c r="A9" t="n">
        <v>8</v>
      </c>
      <c r="B9">
        <f>IFERROR(INDEX(Tabell!$B$2:$B$16,MATCH($A9,Tabell!$A$2:$A$16,0)),"")</f>
        <v/>
      </c>
      <c r="C9">
        <f>IFERROR(INDEX(Tabell!$C$2:$C$16,MATCH($A9,Tabell!$A$2:$A$16,0)),"")</f>
        <v/>
      </c>
      <c r="D9">
        <f>IFERROR(INDEX(Tabell!$D$2:$D$16,MATCH($A9,Tabell!$A$2:$A$16,0)),"")</f>
        <v/>
      </c>
      <c r="E9">
        <f>IFERROR(INDEX(Tabell!$E$2:$E$16,MATCH($A9,Tabell!$A$2:$A$16,0)),"")</f>
        <v/>
      </c>
      <c r="F9">
        <f>IFERROR(INDEX(Tabell!$F$2:$F$16,MATCH($A9,Tabell!$A$2:$A$16,0)),"")</f>
        <v/>
      </c>
      <c r="G9">
        <f>IFERROR(INDEX(Tabell!$G$2:$G$16,MATCH($A9,Tabell!$A$2:$A$16,0)),"")</f>
        <v/>
      </c>
      <c r="H9">
        <f>IFERROR(INDEX(Tabell!$H$2:$H$16,MATCH($A9,Tabell!$A$2:$A$16,0)),"")</f>
        <v/>
      </c>
      <c r="I9">
        <f>IFERROR(INDEX(Tabell!$I$2:$I$16,MATCH($A9,Tabell!$A$2:$A$16,0)),"")</f>
        <v/>
      </c>
    </row>
    <row r="10">
      <c r="A10" t="n">
        <v>9</v>
      </c>
      <c r="B10">
        <f>IFERROR(INDEX(Tabell!$B$2:$B$16,MATCH($A10,Tabell!$A$2:$A$16,0)),"")</f>
        <v/>
      </c>
      <c r="C10">
        <f>IFERROR(INDEX(Tabell!$C$2:$C$16,MATCH($A10,Tabell!$A$2:$A$16,0)),"")</f>
        <v/>
      </c>
      <c r="D10">
        <f>IFERROR(INDEX(Tabell!$D$2:$D$16,MATCH($A10,Tabell!$A$2:$A$16,0)),"")</f>
        <v/>
      </c>
      <c r="E10">
        <f>IFERROR(INDEX(Tabell!$E$2:$E$16,MATCH($A10,Tabell!$A$2:$A$16,0)),"")</f>
        <v/>
      </c>
      <c r="F10">
        <f>IFERROR(INDEX(Tabell!$F$2:$F$16,MATCH($A10,Tabell!$A$2:$A$16,0)),"")</f>
        <v/>
      </c>
      <c r="G10">
        <f>IFERROR(INDEX(Tabell!$G$2:$G$16,MATCH($A10,Tabell!$A$2:$A$16,0)),"")</f>
        <v/>
      </c>
      <c r="H10">
        <f>IFERROR(INDEX(Tabell!$H$2:$H$16,MATCH($A10,Tabell!$A$2:$A$16,0)),"")</f>
        <v/>
      </c>
      <c r="I10">
        <f>IFERROR(INDEX(Tabell!$I$2:$I$16,MATCH($A10,Tabell!$A$2:$A$16,0)),"")</f>
        <v/>
      </c>
    </row>
    <row r="11">
      <c r="A11" t="n">
        <v>10</v>
      </c>
      <c r="B11">
        <f>IFERROR(INDEX(Tabell!$B$2:$B$16,MATCH($A11,Tabell!$A$2:$A$16,0)),"")</f>
        <v/>
      </c>
      <c r="C11">
        <f>IFERROR(INDEX(Tabell!$C$2:$C$16,MATCH($A11,Tabell!$A$2:$A$16,0)),"")</f>
        <v/>
      </c>
      <c r="D11">
        <f>IFERROR(INDEX(Tabell!$D$2:$D$16,MATCH($A11,Tabell!$A$2:$A$16,0)),"")</f>
        <v/>
      </c>
      <c r="E11">
        <f>IFERROR(INDEX(Tabell!$E$2:$E$16,MATCH($A11,Tabell!$A$2:$A$16,0)),"")</f>
        <v/>
      </c>
      <c r="F11">
        <f>IFERROR(INDEX(Tabell!$F$2:$F$16,MATCH($A11,Tabell!$A$2:$A$16,0)),"")</f>
        <v/>
      </c>
      <c r="G11">
        <f>IFERROR(INDEX(Tabell!$G$2:$G$16,MATCH($A11,Tabell!$A$2:$A$16,0)),"")</f>
        <v/>
      </c>
      <c r="H11">
        <f>IFERROR(INDEX(Tabell!$H$2:$H$16,MATCH($A11,Tabell!$A$2:$A$16,0)),"")</f>
        <v/>
      </c>
      <c r="I11">
        <f>IFERROR(INDEX(Tabell!$I$2:$I$16,MATCH($A11,Tabell!$A$2:$A$16,0)),"")</f>
        <v/>
      </c>
    </row>
    <row r="12">
      <c r="A12" t="n">
        <v>11</v>
      </c>
      <c r="B12">
        <f>IFERROR(INDEX(Tabell!$B$2:$B$16,MATCH($A12,Tabell!$A$2:$A$16,0)),"")</f>
        <v/>
      </c>
      <c r="C12">
        <f>IFERROR(INDEX(Tabell!$C$2:$C$16,MATCH($A12,Tabell!$A$2:$A$16,0)),"")</f>
        <v/>
      </c>
      <c r="D12">
        <f>IFERROR(INDEX(Tabell!$D$2:$D$16,MATCH($A12,Tabell!$A$2:$A$16,0)),"")</f>
        <v/>
      </c>
      <c r="E12">
        <f>IFERROR(INDEX(Tabell!$E$2:$E$16,MATCH($A12,Tabell!$A$2:$A$16,0)),"")</f>
        <v/>
      </c>
      <c r="F12">
        <f>IFERROR(INDEX(Tabell!$F$2:$F$16,MATCH($A12,Tabell!$A$2:$A$16,0)),"")</f>
        <v/>
      </c>
      <c r="G12">
        <f>IFERROR(INDEX(Tabell!$G$2:$G$16,MATCH($A12,Tabell!$A$2:$A$16,0)),"")</f>
        <v/>
      </c>
      <c r="H12">
        <f>IFERROR(INDEX(Tabell!$H$2:$H$16,MATCH($A12,Tabell!$A$2:$A$16,0)),"")</f>
        <v/>
      </c>
      <c r="I12">
        <f>IFERROR(INDEX(Tabell!$I$2:$I$16,MATCH($A12,Tabell!$A$2:$A$16,0)),"")</f>
        <v/>
      </c>
    </row>
    <row r="13">
      <c r="A13" t="n">
        <v>12</v>
      </c>
      <c r="B13">
        <f>IFERROR(INDEX(Tabell!$B$2:$B$16,MATCH($A13,Tabell!$A$2:$A$16,0)),"")</f>
        <v/>
      </c>
      <c r="C13">
        <f>IFERROR(INDEX(Tabell!$C$2:$C$16,MATCH($A13,Tabell!$A$2:$A$16,0)),"")</f>
        <v/>
      </c>
      <c r="D13">
        <f>IFERROR(INDEX(Tabell!$D$2:$D$16,MATCH($A13,Tabell!$A$2:$A$16,0)),"")</f>
        <v/>
      </c>
      <c r="E13">
        <f>IFERROR(INDEX(Tabell!$E$2:$E$16,MATCH($A13,Tabell!$A$2:$A$16,0)),"")</f>
        <v/>
      </c>
      <c r="F13">
        <f>IFERROR(INDEX(Tabell!$F$2:$F$16,MATCH($A13,Tabell!$A$2:$A$16,0)),"")</f>
        <v/>
      </c>
      <c r="G13">
        <f>IFERROR(INDEX(Tabell!$G$2:$G$16,MATCH($A13,Tabell!$A$2:$A$16,0)),"")</f>
        <v/>
      </c>
      <c r="H13">
        <f>IFERROR(INDEX(Tabell!$H$2:$H$16,MATCH($A13,Tabell!$A$2:$A$16,0)),"")</f>
        <v/>
      </c>
      <c r="I13">
        <f>IFERROR(INDEX(Tabell!$I$2:$I$16,MATCH($A13,Tabell!$A$2:$A$16,0)),"")</f>
        <v/>
      </c>
    </row>
    <row r="14">
      <c r="A14" t="n">
        <v>13</v>
      </c>
      <c r="B14">
        <f>IFERROR(INDEX(Tabell!$B$2:$B$16,MATCH($A14,Tabell!$A$2:$A$16,0)),"")</f>
        <v/>
      </c>
      <c r="C14">
        <f>IFERROR(INDEX(Tabell!$C$2:$C$16,MATCH($A14,Tabell!$A$2:$A$16,0)),"")</f>
        <v/>
      </c>
      <c r="D14">
        <f>IFERROR(INDEX(Tabell!$D$2:$D$16,MATCH($A14,Tabell!$A$2:$A$16,0)),"")</f>
        <v/>
      </c>
      <c r="E14">
        <f>IFERROR(INDEX(Tabell!$E$2:$E$16,MATCH($A14,Tabell!$A$2:$A$16,0)),"")</f>
        <v/>
      </c>
      <c r="F14">
        <f>IFERROR(INDEX(Tabell!$F$2:$F$16,MATCH($A14,Tabell!$A$2:$A$16,0)),"")</f>
        <v/>
      </c>
      <c r="G14">
        <f>IFERROR(INDEX(Tabell!$G$2:$G$16,MATCH($A14,Tabell!$A$2:$A$16,0)),"")</f>
        <v/>
      </c>
      <c r="H14">
        <f>IFERROR(INDEX(Tabell!$H$2:$H$16,MATCH($A14,Tabell!$A$2:$A$16,0)),"")</f>
        <v/>
      </c>
      <c r="I14">
        <f>IFERROR(INDEX(Tabell!$I$2:$I$16,MATCH($A14,Tabell!$A$2:$A$16,0)),"")</f>
        <v/>
      </c>
    </row>
    <row r="15">
      <c r="A15" t="n">
        <v>14</v>
      </c>
      <c r="B15">
        <f>IFERROR(INDEX(Tabell!$B$2:$B$16,MATCH($A15,Tabell!$A$2:$A$16,0)),"")</f>
        <v/>
      </c>
      <c r="C15">
        <f>IFERROR(INDEX(Tabell!$C$2:$C$16,MATCH($A15,Tabell!$A$2:$A$16,0)),"")</f>
        <v/>
      </c>
      <c r="D15">
        <f>IFERROR(INDEX(Tabell!$D$2:$D$16,MATCH($A15,Tabell!$A$2:$A$16,0)),"")</f>
        <v/>
      </c>
      <c r="E15">
        <f>IFERROR(INDEX(Tabell!$E$2:$E$16,MATCH($A15,Tabell!$A$2:$A$16,0)),"")</f>
        <v/>
      </c>
      <c r="F15">
        <f>IFERROR(INDEX(Tabell!$F$2:$F$16,MATCH($A15,Tabell!$A$2:$A$16,0)),"")</f>
        <v/>
      </c>
      <c r="G15">
        <f>IFERROR(INDEX(Tabell!$G$2:$G$16,MATCH($A15,Tabell!$A$2:$A$16,0)),"")</f>
        <v/>
      </c>
      <c r="H15">
        <f>IFERROR(INDEX(Tabell!$H$2:$H$16,MATCH($A15,Tabell!$A$2:$A$16,0)),"")</f>
        <v/>
      </c>
      <c r="I15">
        <f>IFERROR(INDEX(Tabell!$I$2:$I$16,MATCH($A15,Tabell!$A$2:$A$16,0)),"")</f>
        <v/>
      </c>
    </row>
    <row r="16">
      <c r="A16" t="n">
        <v>15</v>
      </c>
      <c r="B16">
        <f>IFERROR(INDEX(Tabell!$B$2:$B$16,MATCH($A16,Tabell!$A$2:$A$16,0)),"")</f>
        <v/>
      </c>
      <c r="C16">
        <f>IFERROR(INDEX(Tabell!$C$2:$C$16,MATCH($A16,Tabell!$A$2:$A$16,0)),"")</f>
        <v/>
      </c>
      <c r="D16">
        <f>IFERROR(INDEX(Tabell!$D$2:$D$16,MATCH($A16,Tabell!$A$2:$A$16,0)),"")</f>
        <v/>
      </c>
      <c r="E16">
        <f>IFERROR(INDEX(Tabell!$E$2:$E$16,MATCH($A16,Tabell!$A$2:$A$16,0)),"")</f>
        <v/>
      </c>
      <c r="F16">
        <f>IFERROR(INDEX(Tabell!$F$2:$F$16,MATCH($A16,Tabell!$A$2:$A$16,0)),"")</f>
        <v/>
      </c>
      <c r="G16">
        <f>IFERROR(INDEX(Tabell!$G$2:$G$16,MATCH($A16,Tabell!$A$2:$A$16,0)),"")</f>
        <v/>
      </c>
      <c r="H16">
        <f>IFERROR(INDEX(Tabell!$H$2:$H$16,MATCH($A16,Tabell!$A$2:$A$16,0)),"")</f>
        <v/>
      </c>
      <c r="I16">
        <f>IFERROR(INDEX(Tabell!$I$2:$I$16,MATCH($A16,Tabell!$A$2:$A$16,0)),"")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1" customWidth="1" min="4" max="4"/>
    <col width="11" customWidth="1" min="5" max="5"/>
  </cols>
  <sheetData>
    <row r="1">
      <c r="A1" s="2" t="inlineStr">
        <is>
          <t>Date</t>
        </is>
      </c>
      <c r="B1" s="2" t="inlineStr">
        <is>
          <t>HomeTeam</t>
        </is>
      </c>
      <c r="C1" s="2" t="inlineStr">
        <is>
          <t>AwayTeam</t>
        </is>
      </c>
      <c r="D1" s="2" t="inlineStr">
        <is>
          <t>HomeGoals</t>
        </is>
      </c>
      <c r="E1" s="2" t="inlineStr">
        <is>
          <t>AwayGoals</t>
        </is>
      </c>
    </row>
    <row r="2">
      <c r="A2" t="inlineStr">
        <is>
          <t>Legg inn kamper her eller bruk --matches-dataset med CSV.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2026-06-17T20:25:49Z</dcterms:created>
  <dcterms:modified xmlns:dcterms="http://purl.org/dc/terms/" xmlns:xsi="http://www.w3.org/2001/XMLSchema-instance" xsi:type="dcterms:W3CDTF">2026-06-17T20:25:49Z</dcterms:modified>
</cp:coreProperties>
</file>