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Data" sheetId="1" state="visible" r:id="rId1"/>
    <sheet xmlns:r="http://schemas.openxmlformats.org/officeDocument/2006/relationships" name="TeamStats" sheetId="2" state="visible" r:id="rId2"/>
    <sheet xmlns:r="http://schemas.openxmlformats.org/officeDocument/2006/relationships" name="Kampanalyse" sheetId="3" state="visible" r:id="rId3"/>
    <sheet xmlns:r="http://schemas.openxmlformats.org/officeDocument/2006/relationships" name="Tabell" sheetId="4" state="visible" r:id="rId4"/>
    <sheet xmlns:r="http://schemas.openxmlformats.org/officeDocument/2006/relationships" name="LiveTabell" sheetId="5" state="visible" r:id="rId5"/>
    <sheet xmlns:r="http://schemas.openxmlformats.org/officeDocument/2006/relationships" name="Kamp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33" customWidth="1" min="3" max="3"/>
    <col width="19" customWidth="1" min="4" max="4"/>
    <col width="10" customWidth="1" min="5" max="5"/>
  </cols>
  <sheetData>
    <row r="1">
      <c r="A1" t="inlineStr">
        <is>
          <t>Year</t>
        </is>
      </c>
      <c r="B1" t="inlineStr">
        <is>
          <t>Host</t>
        </is>
      </c>
      <c r="C1" t="inlineStr">
        <is>
          <t>Player</t>
        </is>
      </c>
      <c r="D1" t="inlineStr">
        <is>
          <t>Country</t>
        </is>
      </c>
      <c r="E1" t="inlineStr">
        <is>
          <t>Goals</t>
        </is>
      </c>
    </row>
    <row r="2">
      <c r="A2" t="n">
        <v>1930</v>
      </c>
      <c r="B2" t="inlineStr">
        <is>
          <t>Uruguay</t>
        </is>
      </c>
      <c r="C2" t="inlineStr">
        <is>
          <t>Guillermo Stábile</t>
        </is>
      </c>
      <c r="D2" t="inlineStr">
        <is>
          <t>Argentina</t>
        </is>
      </c>
      <c r="E2" t="n">
        <v>8</v>
      </c>
    </row>
    <row r="3">
      <c r="A3" t="n">
        <v>1934</v>
      </c>
      <c r="B3" t="inlineStr">
        <is>
          <t>Italy</t>
        </is>
      </c>
      <c r="C3" t="inlineStr">
        <is>
          <t>Oldřich Nejedlý</t>
        </is>
      </c>
      <c r="D3" t="inlineStr">
        <is>
          <t>Czechoslovakia</t>
        </is>
      </c>
      <c r="E3" t="n">
        <v>5</v>
      </c>
    </row>
    <row r="4">
      <c r="A4" t="n">
        <v>1938</v>
      </c>
      <c r="B4" t="inlineStr">
        <is>
          <t>France</t>
        </is>
      </c>
      <c r="C4" t="inlineStr">
        <is>
          <t>Leônidas</t>
        </is>
      </c>
      <c r="D4" t="inlineStr">
        <is>
          <t>Brazil</t>
        </is>
      </c>
      <c r="E4" t="n">
        <v>7</v>
      </c>
    </row>
    <row r="5">
      <c r="A5" t="n">
        <v>1950</v>
      </c>
      <c r="B5" t="inlineStr">
        <is>
          <t>Brazil</t>
        </is>
      </c>
      <c r="C5" t="inlineStr">
        <is>
          <t>Ademir</t>
        </is>
      </c>
      <c r="D5" t="inlineStr">
        <is>
          <t>Brazil</t>
        </is>
      </c>
      <c r="E5" t="n">
        <v>8</v>
      </c>
    </row>
    <row r="6">
      <c r="A6" t="n">
        <v>1954</v>
      </c>
      <c r="B6" t="inlineStr">
        <is>
          <t>Switzerland</t>
        </is>
      </c>
      <c r="C6" t="inlineStr">
        <is>
          <t>Sándor Kocsis</t>
        </is>
      </c>
      <c r="D6" t="inlineStr">
        <is>
          <t>Hungary</t>
        </is>
      </c>
      <c r="E6" t="n">
        <v>11</v>
      </c>
    </row>
    <row r="7">
      <c r="A7" t="n">
        <v>1958</v>
      </c>
      <c r="B7" t="inlineStr">
        <is>
          <t>Sweden</t>
        </is>
      </c>
      <c r="C7" t="inlineStr">
        <is>
          <t>Just Fontaine</t>
        </is>
      </c>
      <c r="D7" t="inlineStr">
        <is>
          <t>France</t>
        </is>
      </c>
      <c r="E7" t="n">
        <v>13</v>
      </c>
    </row>
    <row r="8">
      <c r="A8" t="n">
        <v>1962</v>
      </c>
      <c r="B8" t="inlineStr">
        <is>
          <t>Chile</t>
        </is>
      </c>
      <c r="C8" t="inlineStr">
        <is>
          <t>Garrincha / Vavá / Others</t>
        </is>
      </c>
      <c r="D8" t="inlineStr">
        <is>
          <t>Multiple</t>
        </is>
      </c>
      <c r="E8" t="n">
        <v>4</v>
      </c>
    </row>
    <row r="9">
      <c r="A9" t="n">
        <v>1966</v>
      </c>
      <c r="B9" t="inlineStr">
        <is>
          <t>England</t>
        </is>
      </c>
      <c r="C9" t="inlineStr">
        <is>
          <t>Eusébio</t>
        </is>
      </c>
      <c r="D9" t="inlineStr">
        <is>
          <t>Portugal</t>
        </is>
      </c>
      <c r="E9" t="n">
        <v>9</v>
      </c>
    </row>
    <row r="10">
      <c r="A10" t="n">
        <v>1970</v>
      </c>
      <c r="B10" t="inlineStr">
        <is>
          <t>Mexico</t>
        </is>
      </c>
      <c r="C10" t="inlineStr">
        <is>
          <t>Gerd Müller</t>
        </is>
      </c>
      <c r="D10" t="inlineStr">
        <is>
          <t>West Germany</t>
        </is>
      </c>
      <c r="E10" t="n">
        <v>10</v>
      </c>
    </row>
    <row r="11">
      <c r="A11" t="n">
        <v>1974</v>
      </c>
      <c r="B11" t="inlineStr">
        <is>
          <t>West Germany</t>
        </is>
      </c>
      <c r="C11" t="inlineStr">
        <is>
          <t>Grzegorz Lato</t>
        </is>
      </c>
      <c r="D11" t="inlineStr">
        <is>
          <t>Poland</t>
        </is>
      </c>
      <c r="E11" t="n">
        <v>7</v>
      </c>
    </row>
    <row r="12">
      <c r="A12" t="n">
        <v>1978</v>
      </c>
      <c r="B12" t="inlineStr">
        <is>
          <t>Argentina</t>
        </is>
      </c>
      <c r="C12" t="inlineStr">
        <is>
          <t>Mario Kempes</t>
        </is>
      </c>
      <c r="D12" t="inlineStr">
        <is>
          <t>Argentina</t>
        </is>
      </c>
      <c r="E12" t="n">
        <v>6</v>
      </c>
    </row>
    <row r="13">
      <c r="A13" t="n">
        <v>1982</v>
      </c>
      <c r="B13" t="inlineStr">
        <is>
          <t>Spain</t>
        </is>
      </c>
      <c r="C13" t="inlineStr">
        <is>
          <t>Paolo Rossi</t>
        </is>
      </c>
      <c r="D13" t="inlineStr">
        <is>
          <t>Italy</t>
        </is>
      </c>
      <c r="E13" t="n">
        <v>6</v>
      </c>
    </row>
    <row r="14">
      <c r="A14" t="n">
        <v>1986</v>
      </c>
      <c r="B14" t="inlineStr">
        <is>
          <t>Mexico</t>
        </is>
      </c>
      <c r="C14" t="inlineStr">
        <is>
          <t>Gary Lineker</t>
        </is>
      </c>
      <c r="D14" t="inlineStr">
        <is>
          <t>England</t>
        </is>
      </c>
      <c r="E14" t="n">
        <v>6</v>
      </c>
    </row>
    <row r="15">
      <c r="A15" t="n">
        <v>1990</v>
      </c>
      <c r="B15" t="inlineStr">
        <is>
          <t>Italy</t>
        </is>
      </c>
      <c r="C15" t="inlineStr">
        <is>
          <t>Salvatore Schillaci</t>
        </is>
      </c>
      <c r="D15" t="inlineStr">
        <is>
          <t>Italy</t>
        </is>
      </c>
      <c r="E15" t="n">
        <v>6</v>
      </c>
    </row>
    <row r="16">
      <c r="A16" t="n">
        <v>1994</v>
      </c>
      <c r="B16" t="inlineStr">
        <is>
          <t>United States</t>
        </is>
      </c>
      <c r="C16" t="inlineStr">
        <is>
          <t>Oleg Salenko / Hristo Stoichkov</t>
        </is>
      </c>
      <c r="D16" t="inlineStr">
        <is>
          <t>Russia / Bulgaria</t>
        </is>
      </c>
      <c r="E16" t="n">
        <v>6</v>
      </c>
    </row>
    <row r="17">
      <c r="A17" t="n">
        <v>1998</v>
      </c>
      <c r="B17" t="inlineStr">
        <is>
          <t>France</t>
        </is>
      </c>
      <c r="C17" t="inlineStr">
        <is>
          <t>Davor Šuker</t>
        </is>
      </c>
      <c r="D17" t="inlineStr">
        <is>
          <t>Croatia</t>
        </is>
      </c>
      <c r="E17" t="n">
        <v>6</v>
      </c>
    </row>
    <row r="18">
      <c r="A18" t="n">
        <v>2002</v>
      </c>
      <c r="B18" t="inlineStr">
        <is>
          <t>South Korea / Japan</t>
        </is>
      </c>
      <c r="C18" t="inlineStr">
        <is>
          <t>Ronaldo</t>
        </is>
      </c>
      <c r="D18" t="inlineStr">
        <is>
          <t>Brazil</t>
        </is>
      </c>
      <c r="E18" t="n">
        <v>8</v>
      </c>
    </row>
    <row r="19">
      <c r="A19" t="n">
        <v>2006</v>
      </c>
      <c r="B19" t="inlineStr">
        <is>
          <t>Germany</t>
        </is>
      </c>
      <c r="C19" t="inlineStr">
        <is>
          <t>Miroslav Klose</t>
        </is>
      </c>
      <c r="D19" t="inlineStr">
        <is>
          <t>Germany</t>
        </is>
      </c>
      <c r="E19" t="n">
        <v>5</v>
      </c>
    </row>
    <row r="20">
      <c r="A20" t="n">
        <v>2010</v>
      </c>
      <c r="B20" t="inlineStr">
        <is>
          <t>South Africa</t>
        </is>
      </c>
      <c r="C20" t="inlineStr">
        <is>
          <t>Thomas Müller</t>
        </is>
      </c>
      <c r="D20" t="inlineStr">
        <is>
          <t>Germany</t>
        </is>
      </c>
      <c r="E20" t="n">
        <v>5</v>
      </c>
    </row>
    <row r="21">
      <c r="A21" t="n">
        <v>2014</v>
      </c>
      <c r="B21" t="inlineStr">
        <is>
          <t>Brazil</t>
        </is>
      </c>
      <c r="C21" t="inlineStr">
        <is>
          <t>James Rodríguez</t>
        </is>
      </c>
      <c r="D21" t="inlineStr">
        <is>
          <t>Colombia</t>
        </is>
      </c>
      <c r="E21" t="n">
        <v>6</v>
      </c>
    </row>
    <row r="22">
      <c r="A22" t="n">
        <v>2018</v>
      </c>
      <c r="B22" t="inlineStr">
        <is>
          <t>Russia</t>
        </is>
      </c>
      <c r="C22" t="inlineStr">
        <is>
          <t>Harry Kane</t>
        </is>
      </c>
      <c r="D22" t="inlineStr">
        <is>
          <t>England</t>
        </is>
      </c>
      <c r="E22" t="n">
        <v>6</v>
      </c>
    </row>
    <row r="23">
      <c r="A23" t="n">
        <v>2022</v>
      </c>
      <c r="B23" t="inlineStr">
        <is>
          <t>Qatar</t>
        </is>
      </c>
      <c r="C23" t="inlineStr">
        <is>
          <t>Kylian Mbappé</t>
        </is>
      </c>
      <c r="D23" t="inlineStr">
        <is>
          <t>France</t>
        </is>
      </c>
      <c r="E23" t="n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9" customWidth="1" min="1" max="1"/>
    <col width="10" customWidth="1" min="2" max="2"/>
    <col width="15" customWidth="1" min="3" max="3"/>
    <col width="12" customWidth="1" min="4" max="4"/>
    <col width="19" customWidth="1" min="5" max="5"/>
    <col width="10" customWidth="1" min="6" max="6"/>
    <col width="11" customWidth="1" min="7" max="7"/>
    <col width="10" customWidth="1" min="8" max="8"/>
  </cols>
  <sheetData>
    <row r="1">
      <c r="A1" t="inlineStr">
        <is>
          <t>Team</t>
        </is>
      </c>
      <c r="B1" t="inlineStr">
        <is>
          <t>Entries</t>
        </is>
      </c>
      <c r="C1" t="inlineStr">
        <is>
          <t>UniquePlayers</t>
        </is>
      </c>
      <c r="D1" t="inlineStr">
        <is>
          <t>TotalGoals</t>
        </is>
      </c>
      <c r="E1" t="inlineStr">
        <is>
          <t>AvgGoals</t>
        </is>
      </c>
      <c r="F1" t="inlineStr">
        <is>
          <t>MaxGoals</t>
        </is>
      </c>
      <c r="G1" t="inlineStr">
        <is>
          <t>FirstYear</t>
        </is>
      </c>
      <c r="H1" t="inlineStr">
        <is>
          <t>LastYear</t>
        </is>
      </c>
    </row>
    <row r="2">
      <c r="A2" t="inlineStr">
        <is>
          <t>Argentina</t>
        </is>
      </c>
      <c r="B2" t="n">
        <v>2</v>
      </c>
      <c r="C2" t="n">
        <v>2</v>
      </c>
      <c r="D2" t="n">
        <v>14</v>
      </c>
      <c r="E2" t="n">
        <v>7</v>
      </c>
      <c r="F2" t="n">
        <v>8</v>
      </c>
      <c r="G2" t="n">
        <v>1930</v>
      </c>
      <c r="H2" t="n">
        <v>1978</v>
      </c>
    </row>
    <row r="3">
      <c r="A3" t="inlineStr">
        <is>
          <t>Brazil</t>
        </is>
      </c>
      <c r="B3" t="n">
        <v>3</v>
      </c>
      <c r="C3" t="n">
        <v>3</v>
      </c>
      <c r="D3" t="n">
        <v>23</v>
      </c>
      <c r="E3" t="n">
        <v>7.666666666666667</v>
      </c>
      <c r="F3" t="n">
        <v>8</v>
      </c>
      <c r="G3" t="n">
        <v>1938</v>
      </c>
      <c r="H3" t="n">
        <v>2002</v>
      </c>
    </row>
    <row r="4">
      <c r="A4" t="inlineStr">
        <is>
          <t>Colombia</t>
        </is>
      </c>
      <c r="B4" t="n">
        <v>1</v>
      </c>
      <c r="C4" t="n">
        <v>1</v>
      </c>
      <c r="D4" t="n">
        <v>6</v>
      </c>
      <c r="E4" t="n">
        <v>6</v>
      </c>
      <c r="F4" t="n">
        <v>6</v>
      </c>
      <c r="G4" t="n">
        <v>2014</v>
      </c>
      <c r="H4" t="n">
        <v>2014</v>
      </c>
    </row>
    <row r="5">
      <c r="A5" t="inlineStr">
        <is>
          <t>Croatia</t>
        </is>
      </c>
      <c r="B5" t="n">
        <v>1</v>
      </c>
      <c r="C5" t="n">
        <v>1</v>
      </c>
      <c r="D5" t="n">
        <v>6</v>
      </c>
      <c r="E5" t="n">
        <v>6</v>
      </c>
      <c r="F5" t="n">
        <v>6</v>
      </c>
      <c r="G5" t="n">
        <v>1998</v>
      </c>
      <c r="H5" t="n">
        <v>1998</v>
      </c>
    </row>
    <row r="6">
      <c r="A6" t="inlineStr">
        <is>
          <t>Czechoslovakia</t>
        </is>
      </c>
      <c r="B6" t="n">
        <v>1</v>
      </c>
      <c r="C6" t="n">
        <v>1</v>
      </c>
      <c r="D6" t="n">
        <v>5</v>
      </c>
      <c r="E6" t="n">
        <v>5</v>
      </c>
      <c r="F6" t="n">
        <v>5</v>
      </c>
      <c r="G6" t="n">
        <v>1934</v>
      </c>
      <c r="H6" t="n">
        <v>1934</v>
      </c>
    </row>
    <row r="7">
      <c r="A7" t="inlineStr">
        <is>
          <t>England</t>
        </is>
      </c>
      <c r="B7" t="n">
        <v>2</v>
      </c>
      <c r="C7" t="n">
        <v>2</v>
      </c>
      <c r="D7" t="n">
        <v>12</v>
      </c>
      <c r="E7" t="n">
        <v>6</v>
      </c>
      <c r="F7" t="n">
        <v>6</v>
      </c>
      <c r="G7" t="n">
        <v>1986</v>
      </c>
      <c r="H7" t="n">
        <v>2018</v>
      </c>
    </row>
    <row r="8">
      <c r="A8" t="inlineStr">
        <is>
          <t>France</t>
        </is>
      </c>
      <c r="B8" t="n">
        <v>2</v>
      </c>
      <c r="C8" t="n">
        <v>2</v>
      </c>
      <c r="D8" t="n">
        <v>21</v>
      </c>
      <c r="E8" t="n">
        <v>10.5</v>
      </c>
      <c r="F8" t="n">
        <v>13</v>
      </c>
      <c r="G8" t="n">
        <v>1958</v>
      </c>
      <c r="H8" t="n">
        <v>2022</v>
      </c>
    </row>
    <row r="9">
      <c r="A9" t="inlineStr">
        <is>
          <t>Germany</t>
        </is>
      </c>
      <c r="B9" t="n">
        <v>2</v>
      </c>
      <c r="C9" t="n">
        <v>2</v>
      </c>
      <c r="D9" t="n">
        <v>10</v>
      </c>
      <c r="E9" t="n">
        <v>5</v>
      </c>
      <c r="F9" t="n">
        <v>5</v>
      </c>
      <c r="G9" t="n">
        <v>2006</v>
      </c>
      <c r="H9" t="n">
        <v>2010</v>
      </c>
    </row>
    <row r="10">
      <c r="A10" t="inlineStr">
        <is>
          <t>Hungary</t>
        </is>
      </c>
      <c r="B10" t="n">
        <v>1</v>
      </c>
      <c r="C10" t="n">
        <v>1</v>
      </c>
      <c r="D10" t="n">
        <v>11</v>
      </c>
      <c r="E10" t="n">
        <v>11</v>
      </c>
      <c r="F10" t="n">
        <v>11</v>
      </c>
      <c r="G10" t="n">
        <v>1954</v>
      </c>
      <c r="H10" t="n">
        <v>1954</v>
      </c>
    </row>
    <row r="11">
      <c r="A11" t="inlineStr">
        <is>
          <t>Italy</t>
        </is>
      </c>
      <c r="B11" t="n">
        <v>2</v>
      </c>
      <c r="C11" t="n">
        <v>2</v>
      </c>
      <c r="D11" t="n">
        <v>12</v>
      </c>
      <c r="E11" t="n">
        <v>6</v>
      </c>
      <c r="F11" t="n">
        <v>6</v>
      </c>
      <c r="G11" t="n">
        <v>1982</v>
      </c>
      <c r="H11" t="n">
        <v>1990</v>
      </c>
    </row>
    <row r="12">
      <c r="A12" t="inlineStr">
        <is>
          <t>Multiple</t>
        </is>
      </c>
      <c r="B12" t="n">
        <v>1</v>
      </c>
      <c r="C12" t="n">
        <v>1</v>
      </c>
      <c r="D12" t="n">
        <v>4</v>
      </c>
      <c r="E12" t="n">
        <v>4</v>
      </c>
      <c r="F12" t="n">
        <v>4</v>
      </c>
      <c r="G12" t="n">
        <v>1962</v>
      </c>
      <c r="H12" t="n">
        <v>1962</v>
      </c>
    </row>
    <row r="13">
      <c r="A13" t="inlineStr">
        <is>
          <t>Poland</t>
        </is>
      </c>
      <c r="B13" t="n">
        <v>1</v>
      </c>
      <c r="C13" t="n">
        <v>1</v>
      </c>
      <c r="D13" t="n">
        <v>7</v>
      </c>
      <c r="E13" t="n">
        <v>7</v>
      </c>
      <c r="F13" t="n">
        <v>7</v>
      </c>
      <c r="G13" t="n">
        <v>1974</v>
      </c>
      <c r="H13" t="n">
        <v>1974</v>
      </c>
    </row>
    <row r="14">
      <c r="A14" t="inlineStr">
        <is>
          <t>Portugal</t>
        </is>
      </c>
      <c r="B14" t="n">
        <v>1</v>
      </c>
      <c r="C14" t="n">
        <v>1</v>
      </c>
      <c r="D14" t="n">
        <v>9</v>
      </c>
      <c r="E14" t="n">
        <v>9</v>
      </c>
      <c r="F14" t="n">
        <v>9</v>
      </c>
      <c r="G14" t="n">
        <v>1966</v>
      </c>
      <c r="H14" t="n">
        <v>1966</v>
      </c>
    </row>
    <row r="15">
      <c r="A15" t="inlineStr">
        <is>
          <t>Russia / Bulgaria</t>
        </is>
      </c>
      <c r="B15" t="n">
        <v>1</v>
      </c>
      <c r="C15" t="n">
        <v>1</v>
      </c>
      <c r="D15" t="n">
        <v>6</v>
      </c>
      <c r="E15" t="n">
        <v>6</v>
      </c>
      <c r="F15" t="n">
        <v>6</v>
      </c>
      <c r="G15" t="n">
        <v>1994</v>
      </c>
      <c r="H15" t="n">
        <v>1994</v>
      </c>
    </row>
    <row r="16">
      <c r="A16" t="inlineStr">
        <is>
          <t>West Germany</t>
        </is>
      </c>
      <c r="B16" t="n">
        <v>1</v>
      </c>
      <c r="C16" t="n">
        <v>1</v>
      </c>
      <c r="D16" t="n">
        <v>10</v>
      </c>
      <c r="E16" t="n">
        <v>10</v>
      </c>
      <c r="F16" t="n">
        <v>10</v>
      </c>
      <c r="G16" t="n">
        <v>1970</v>
      </c>
      <c r="H16" t="n">
        <v>1970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40" customWidth="1" min="3" max="3"/>
    <col width="35" customWidth="1" min="4" max="4"/>
  </cols>
  <sheetData>
    <row r="1">
      <c r="A1" s="1" t="inlineStr">
        <is>
          <t>Kampanalyse</t>
        </is>
      </c>
    </row>
    <row r="2">
      <c r="A2" t="inlineStr">
        <is>
          <t>Hjemmelag</t>
        </is>
      </c>
    </row>
    <row r="3">
      <c r="A3" t="inlineStr">
        <is>
          <t>Bortelag</t>
        </is>
      </c>
    </row>
    <row r="4">
      <c r="A4" t="inlineStr">
        <is>
          <t>Tips</t>
        </is>
      </c>
      <c r="B4">
        <f>IF(B2=B3,"Velg to ulike lag","OK")</f>
        <v/>
      </c>
    </row>
    <row r="5">
      <c r="A5" s="2" t="inlineStr">
        <is>
          <t>Statistikk</t>
        </is>
      </c>
      <c r="B5" s="2" t="inlineStr">
        <is>
          <t>Hjemme</t>
        </is>
      </c>
      <c r="C5" s="2" t="inlineStr">
        <is>
          <t>Borte</t>
        </is>
      </c>
      <c r="D5" s="2" t="inlineStr">
        <is>
          <t>Differanse</t>
        </is>
      </c>
    </row>
    <row r="6">
      <c r="A6" t="inlineStr">
        <is>
          <t>Entries</t>
        </is>
      </c>
      <c r="B6">
        <f>IFERROR(INDEX(TeamStats!$B$2:$H$16,MATCH($B$2,TeamStats!$A$2:$A$16,0),2),"")</f>
        <v/>
      </c>
      <c r="C6">
        <f>IFERROR(INDEX(TeamStats!$B$2:$H$16,MATCH($B$3,TeamStats!$A$2:$A$16,0),2),"")</f>
        <v/>
      </c>
      <c r="D6">
        <f>IF(OR(B6="",C6=""),"",B6-C6)</f>
        <v/>
      </c>
    </row>
    <row r="7">
      <c r="A7" t="inlineStr">
        <is>
          <t>UniquePlayers</t>
        </is>
      </c>
      <c r="B7">
        <f>IFERROR(INDEX(TeamStats!$B$2:$H$16,MATCH($B$2,TeamStats!$A$2:$A$16,0),3),"")</f>
        <v/>
      </c>
      <c r="C7">
        <f>IFERROR(INDEX(TeamStats!$B$2:$H$16,MATCH($B$3,TeamStats!$A$2:$A$16,0),3),"")</f>
        <v/>
      </c>
      <c r="D7">
        <f>IF(OR(B7="",C7=""),"",B7-C7)</f>
        <v/>
      </c>
    </row>
    <row r="8">
      <c r="A8" t="inlineStr">
        <is>
          <t>TotalGoals</t>
        </is>
      </c>
      <c r="B8">
        <f>IFERROR(INDEX(TeamStats!$B$2:$H$16,MATCH($B$2,TeamStats!$A$2:$A$16,0),4),"")</f>
        <v/>
      </c>
      <c r="C8">
        <f>IFERROR(INDEX(TeamStats!$B$2:$H$16,MATCH($B$3,TeamStats!$A$2:$A$16,0),4),"")</f>
        <v/>
      </c>
      <c r="D8">
        <f>IF(OR(B8="",C8=""),"",B8-C8)</f>
        <v/>
      </c>
    </row>
    <row r="9">
      <c r="A9" t="inlineStr">
        <is>
          <t>AvgGoals</t>
        </is>
      </c>
      <c r="B9" s="3">
        <f>IFERROR(INDEX(TeamStats!$B$2:$H$16,MATCH($B$2,TeamStats!$A$2:$A$16,0),5),"")</f>
        <v/>
      </c>
      <c r="C9" s="3">
        <f>IFERROR(INDEX(TeamStats!$B$2:$H$16,MATCH($B$3,TeamStats!$A$2:$A$16,0),5),"")</f>
        <v/>
      </c>
      <c r="D9" s="3">
        <f>IF(OR(B9="",C9=""),"",B9-C9)</f>
        <v/>
      </c>
    </row>
    <row r="10">
      <c r="A10" t="inlineStr">
        <is>
          <t>MaxGoals</t>
        </is>
      </c>
      <c r="B10">
        <f>IFERROR(INDEX(TeamStats!$B$2:$H$16,MATCH($B$2,TeamStats!$A$2:$A$16,0),6),"")</f>
        <v/>
      </c>
      <c r="C10">
        <f>IFERROR(INDEX(TeamStats!$B$2:$H$16,MATCH($B$3,TeamStats!$A$2:$A$16,0),6),"")</f>
        <v/>
      </c>
      <c r="D10">
        <f>IF(OR(B10="",C10=""),"",B10-C10)</f>
        <v/>
      </c>
    </row>
    <row r="11">
      <c r="A11" t="inlineStr">
        <is>
          <t>FirstYear</t>
        </is>
      </c>
      <c r="B11">
        <f>IFERROR(INDEX(TeamStats!$B$2:$H$16,MATCH($B$2,TeamStats!$A$2:$A$16,0),7),"")</f>
        <v/>
      </c>
      <c r="C11">
        <f>IFERROR(INDEX(TeamStats!$B$2:$H$16,MATCH($B$3,TeamStats!$A$2:$A$16,0),7),"")</f>
        <v/>
      </c>
      <c r="D11">
        <f>IF(OR(B11="",C11=""),"",B11-C11)</f>
        <v/>
      </c>
    </row>
    <row r="12">
      <c r="A12" t="inlineStr">
        <is>
          <t>LastYear</t>
        </is>
      </c>
      <c r="B12">
        <f>IFERROR(INDEX(TeamStats!$B$2:$H$16,MATCH($B$2,TeamStats!$A$2:$A$16,0),8),"")</f>
        <v/>
      </c>
      <c r="C12">
        <f>IFERROR(INDEX(TeamStats!$B$2:$H$16,MATCH($B$3,TeamStats!$A$2:$A$16,0),8),"")</f>
        <v/>
      </c>
      <c r="D12">
        <f>IF(OR(B12="",C12=""),"",B12-C12)</f>
        <v/>
      </c>
    </row>
  </sheetData>
  <dataValidations count="1">
    <dataValidation sqref="B2 B3" showDropDown="0" showInputMessage="0" showErrorMessage="0" allowBlank="0" type="list">
      <formula1>=TeamStats!$A$2:$A$16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12" customWidth="1" min="9" max="9"/>
    <col hidden="1" width="21" customWidth="1" min="10" max="10"/>
  </cols>
  <sheetData>
    <row r="1">
      <c r="A1" s="2" t="inlineStr">
        <is>
          <t>Pos</t>
        </is>
      </c>
      <c r="B1" s="2" t="inlineStr">
        <is>
          <t>Team</t>
        </is>
      </c>
      <c r="C1" s="2" t="inlineStr">
        <is>
          <t>MP</t>
        </is>
      </c>
      <c r="D1" s="2" t="inlineStr">
        <is>
          <t>W</t>
        </is>
      </c>
      <c r="E1" s="2" t="inlineStr">
        <is>
          <t>D</t>
        </is>
      </c>
      <c r="F1" s="2" t="inlineStr">
        <is>
          <t>L</t>
        </is>
      </c>
      <c r="G1" s="2" t="inlineStr">
        <is>
          <t>GF</t>
        </is>
      </c>
      <c r="H1" s="2" t="inlineStr">
        <is>
          <t>GA</t>
        </is>
      </c>
      <c r="I1" s="2" t="inlineStr">
        <is>
          <t>Pts</t>
        </is>
      </c>
      <c r="J1" s="2" t="inlineStr">
        <is>
          <t>SortKey</t>
        </is>
      </c>
    </row>
    <row r="2">
      <c r="A2">
        <f>RANK(J2,$J$2:$J$21,0)+COUNTIF($J$2:J2,J2)-1</f>
        <v/>
      </c>
      <c r="B2" t="inlineStr">
        <is>
          <t>Arsenal</t>
        </is>
      </c>
      <c r="C2">
        <f>D2+E2+F2</f>
        <v/>
      </c>
      <c r="D2">
        <f>SUMPRODUCT((Kamper!$B$2:$B$5000=$B2)*(Kamper!$D$2:$D$5000&gt;Kamper!$E$2:$E$5000))+SUMPRODUCT((Kamper!$C$2:$C$5000=$B2)*(Kamper!$E$2:$E$5000&gt;Kamper!$D$2:$D$5000))</f>
        <v/>
      </c>
      <c r="E2">
        <f>SUMPRODUCT((Kamper!$B$2:$B$5000=$B2)*(Kamper!$D$2:$D$5000=Kamper!$E$2:$E$5000))+SUMPRODUCT((Kamper!$C$2:$C$5000=$B2)*(Kamper!$E$2:$E$5000=Kamper!$D$2:$D$5000))</f>
        <v/>
      </c>
      <c r="F2">
        <f>SUMPRODUCT((Kamper!$B$2:$B$5000=$B2)*(Kamper!$D$2:$D$5000&lt;Kamper!$E$2:$E$5000))+SUMPRODUCT((Kamper!$C$2:$C$5000=$B2)*(Kamper!$E$2:$E$5000&lt;Kamper!$D$2:$D$5000))</f>
        <v/>
      </c>
      <c r="G2">
        <f>SUMIFS(Kamper!$D:$D,Kamper!$B:$B,$B2)+SUMIFS(Kamper!$E:$E,Kamper!$C:$C,$B2)</f>
        <v/>
      </c>
      <c r="H2">
        <f>SUMIFS(Kamper!$E:$E,Kamper!$B:$B,$B2)+SUMIFS(Kamper!$D:$D,Kamper!$C:$C,$B2)</f>
        <v/>
      </c>
      <c r="I2">
        <f>D2*3+E2</f>
        <v/>
      </c>
      <c r="J2">
        <f>I2*1000+(G2-H2)</f>
        <v/>
      </c>
    </row>
    <row r="3">
      <c r="A3">
        <f>RANK(J3,$J$2:$J$21,0)+COUNTIF($J$2:J3,J3)-1</f>
        <v/>
      </c>
      <c r="B3" t="inlineStr">
        <is>
          <t>Aston Villa</t>
        </is>
      </c>
      <c r="C3">
        <f>D3+E3+F3</f>
        <v/>
      </c>
      <c r="D3">
        <f>SUMPRODUCT((Kamper!$B$2:$B$5000=$B3)*(Kamper!$D$2:$D$5000&gt;Kamper!$E$2:$E$5000))+SUMPRODUCT((Kamper!$C$2:$C$5000=$B3)*(Kamper!$E$2:$E$5000&gt;Kamper!$D$2:$D$5000))</f>
        <v/>
      </c>
      <c r="E3">
        <f>SUMPRODUCT((Kamper!$B$2:$B$5000=$B3)*(Kamper!$D$2:$D$5000=Kamper!$E$2:$E$5000))+SUMPRODUCT((Kamper!$C$2:$C$5000=$B3)*(Kamper!$E$2:$E$5000=Kamper!$D$2:$D$5000))</f>
        <v/>
      </c>
      <c r="F3">
        <f>SUMPRODUCT((Kamper!$B$2:$B$5000=$B3)*(Kamper!$D$2:$D$5000&lt;Kamper!$E$2:$E$5000))+SUMPRODUCT((Kamper!$C$2:$C$5000=$B3)*(Kamper!$E$2:$E$5000&lt;Kamper!$D$2:$D$5000))</f>
        <v/>
      </c>
      <c r="G3">
        <f>SUMIFS(Kamper!$D:$D,Kamper!$B:$B,$B3)+SUMIFS(Kamper!$E:$E,Kamper!$C:$C,$B3)</f>
        <v/>
      </c>
      <c r="H3">
        <f>SUMIFS(Kamper!$E:$E,Kamper!$B:$B,$B3)+SUMIFS(Kamper!$D:$D,Kamper!$C:$C,$B3)</f>
        <v/>
      </c>
      <c r="I3">
        <f>D3*3+E3</f>
        <v/>
      </c>
      <c r="J3">
        <f>I3*1000+(G3-H3)</f>
        <v/>
      </c>
    </row>
    <row r="4">
      <c r="A4">
        <f>RANK(J4,$J$2:$J$21,0)+COUNTIF($J$2:J4,J4)-1</f>
        <v/>
      </c>
      <c r="B4" t="inlineStr">
        <is>
          <t>Bournemouth</t>
        </is>
      </c>
      <c r="C4">
        <f>D4+E4+F4</f>
        <v/>
      </c>
      <c r="D4">
        <f>SUMPRODUCT((Kamper!$B$2:$B$5000=$B4)*(Kamper!$D$2:$D$5000&gt;Kamper!$E$2:$E$5000))+SUMPRODUCT((Kamper!$C$2:$C$5000=$B4)*(Kamper!$E$2:$E$5000&gt;Kamper!$D$2:$D$5000))</f>
        <v/>
      </c>
      <c r="E4">
        <f>SUMPRODUCT((Kamper!$B$2:$B$5000=$B4)*(Kamper!$D$2:$D$5000=Kamper!$E$2:$E$5000))+SUMPRODUCT((Kamper!$C$2:$C$5000=$B4)*(Kamper!$E$2:$E$5000=Kamper!$D$2:$D$5000))</f>
        <v/>
      </c>
      <c r="F4">
        <f>SUMPRODUCT((Kamper!$B$2:$B$5000=$B4)*(Kamper!$D$2:$D$5000&lt;Kamper!$E$2:$E$5000))+SUMPRODUCT((Kamper!$C$2:$C$5000=$B4)*(Kamper!$E$2:$E$5000&lt;Kamper!$D$2:$D$5000))</f>
        <v/>
      </c>
      <c r="G4">
        <f>SUMIFS(Kamper!$D:$D,Kamper!$B:$B,$B4)+SUMIFS(Kamper!$E:$E,Kamper!$C:$C,$B4)</f>
        <v/>
      </c>
      <c r="H4">
        <f>SUMIFS(Kamper!$E:$E,Kamper!$B:$B,$B4)+SUMIFS(Kamper!$D:$D,Kamper!$C:$C,$B4)</f>
        <v/>
      </c>
      <c r="I4">
        <f>D4*3+E4</f>
        <v/>
      </c>
      <c r="J4">
        <f>I4*1000+(G4-H4)</f>
        <v/>
      </c>
    </row>
    <row r="5">
      <c r="A5">
        <f>RANK(J5,$J$2:$J$21,0)+COUNTIF($J$2:J5,J5)-1</f>
        <v/>
      </c>
      <c r="B5" t="inlineStr">
        <is>
          <t>Brentford</t>
        </is>
      </c>
      <c r="C5">
        <f>D5+E5+F5</f>
        <v/>
      </c>
      <c r="D5">
        <f>SUMPRODUCT((Kamper!$B$2:$B$5000=$B5)*(Kamper!$D$2:$D$5000&gt;Kamper!$E$2:$E$5000))+SUMPRODUCT((Kamper!$C$2:$C$5000=$B5)*(Kamper!$E$2:$E$5000&gt;Kamper!$D$2:$D$5000))</f>
        <v/>
      </c>
      <c r="E5">
        <f>SUMPRODUCT((Kamper!$B$2:$B$5000=$B5)*(Kamper!$D$2:$D$5000=Kamper!$E$2:$E$5000))+SUMPRODUCT((Kamper!$C$2:$C$5000=$B5)*(Kamper!$E$2:$E$5000=Kamper!$D$2:$D$5000))</f>
        <v/>
      </c>
      <c r="F5">
        <f>SUMPRODUCT((Kamper!$B$2:$B$5000=$B5)*(Kamper!$D$2:$D$5000&lt;Kamper!$E$2:$E$5000))+SUMPRODUCT((Kamper!$C$2:$C$5000=$B5)*(Kamper!$E$2:$E$5000&lt;Kamper!$D$2:$D$5000))</f>
        <v/>
      </c>
      <c r="G5">
        <f>SUMIFS(Kamper!$D:$D,Kamper!$B:$B,$B5)+SUMIFS(Kamper!$E:$E,Kamper!$C:$C,$B5)</f>
        <v/>
      </c>
      <c r="H5">
        <f>SUMIFS(Kamper!$E:$E,Kamper!$B:$B,$B5)+SUMIFS(Kamper!$D:$D,Kamper!$C:$C,$B5)</f>
        <v/>
      </c>
      <c r="I5">
        <f>D5*3+E5</f>
        <v/>
      </c>
      <c r="J5">
        <f>I5*1000+(G5-H5)</f>
        <v/>
      </c>
    </row>
    <row r="6">
      <c r="A6">
        <f>RANK(J6,$J$2:$J$21,0)+COUNTIF($J$2:J6,J6)-1</f>
        <v/>
      </c>
      <c r="B6" t="inlineStr">
        <is>
          <t>Brighton</t>
        </is>
      </c>
      <c r="C6">
        <f>D6+E6+F6</f>
        <v/>
      </c>
      <c r="D6">
        <f>SUMPRODUCT((Kamper!$B$2:$B$5000=$B6)*(Kamper!$D$2:$D$5000&gt;Kamper!$E$2:$E$5000))+SUMPRODUCT((Kamper!$C$2:$C$5000=$B6)*(Kamper!$E$2:$E$5000&gt;Kamper!$D$2:$D$5000))</f>
        <v/>
      </c>
      <c r="E6">
        <f>SUMPRODUCT((Kamper!$B$2:$B$5000=$B6)*(Kamper!$D$2:$D$5000=Kamper!$E$2:$E$5000))+SUMPRODUCT((Kamper!$C$2:$C$5000=$B6)*(Kamper!$E$2:$E$5000=Kamper!$D$2:$D$5000))</f>
        <v/>
      </c>
      <c r="F6">
        <f>SUMPRODUCT((Kamper!$B$2:$B$5000=$B6)*(Kamper!$D$2:$D$5000&lt;Kamper!$E$2:$E$5000))+SUMPRODUCT((Kamper!$C$2:$C$5000=$B6)*(Kamper!$E$2:$E$5000&lt;Kamper!$D$2:$D$5000))</f>
        <v/>
      </c>
      <c r="G6">
        <f>SUMIFS(Kamper!$D:$D,Kamper!$B:$B,$B6)+SUMIFS(Kamper!$E:$E,Kamper!$C:$C,$B6)</f>
        <v/>
      </c>
      <c r="H6">
        <f>SUMIFS(Kamper!$E:$E,Kamper!$B:$B,$B6)+SUMIFS(Kamper!$D:$D,Kamper!$C:$C,$B6)</f>
        <v/>
      </c>
      <c r="I6">
        <f>D6*3+E6</f>
        <v/>
      </c>
      <c r="J6">
        <f>I6*1000+(G6-H6)</f>
        <v/>
      </c>
    </row>
    <row r="7">
      <c r="A7">
        <f>RANK(J7,$J$2:$J$21,0)+COUNTIF($J$2:J7,J7)-1</f>
        <v/>
      </c>
      <c r="B7" t="inlineStr">
        <is>
          <t>Burnley</t>
        </is>
      </c>
      <c r="C7">
        <f>D7+E7+F7</f>
        <v/>
      </c>
      <c r="D7">
        <f>SUMPRODUCT((Kamper!$B$2:$B$5000=$B7)*(Kamper!$D$2:$D$5000&gt;Kamper!$E$2:$E$5000))+SUMPRODUCT((Kamper!$C$2:$C$5000=$B7)*(Kamper!$E$2:$E$5000&gt;Kamper!$D$2:$D$5000))</f>
        <v/>
      </c>
      <c r="E7">
        <f>SUMPRODUCT((Kamper!$B$2:$B$5000=$B7)*(Kamper!$D$2:$D$5000=Kamper!$E$2:$E$5000))+SUMPRODUCT((Kamper!$C$2:$C$5000=$B7)*(Kamper!$E$2:$E$5000=Kamper!$D$2:$D$5000))</f>
        <v/>
      </c>
      <c r="F7">
        <f>SUMPRODUCT((Kamper!$B$2:$B$5000=$B7)*(Kamper!$D$2:$D$5000&lt;Kamper!$E$2:$E$5000))+SUMPRODUCT((Kamper!$C$2:$C$5000=$B7)*(Kamper!$E$2:$E$5000&lt;Kamper!$D$2:$D$5000))</f>
        <v/>
      </c>
      <c r="G7">
        <f>SUMIFS(Kamper!$D:$D,Kamper!$B:$B,$B7)+SUMIFS(Kamper!$E:$E,Kamper!$C:$C,$B7)</f>
        <v/>
      </c>
      <c r="H7">
        <f>SUMIFS(Kamper!$E:$E,Kamper!$B:$B,$B7)+SUMIFS(Kamper!$D:$D,Kamper!$C:$C,$B7)</f>
        <v/>
      </c>
      <c r="I7">
        <f>D7*3+E7</f>
        <v/>
      </c>
      <c r="J7">
        <f>I7*1000+(G7-H7)</f>
        <v/>
      </c>
    </row>
    <row r="8">
      <c r="A8">
        <f>RANK(J8,$J$2:$J$21,0)+COUNTIF($J$2:J8,J8)-1</f>
        <v/>
      </c>
      <c r="B8" t="inlineStr">
        <is>
          <t>Chelsea</t>
        </is>
      </c>
      <c r="C8">
        <f>D8+E8+F8</f>
        <v/>
      </c>
      <c r="D8">
        <f>SUMPRODUCT((Kamper!$B$2:$B$5000=$B8)*(Kamper!$D$2:$D$5000&gt;Kamper!$E$2:$E$5000))+SUMPRODUCT((Kamper!$C$2:$C$5000=$B8)*(Kamper!$E$2:$E$5000&gt;Kamper!$D$2:$D$5000))</f>
        <v/>
      </c>
      <c r="E8">
        <f>SUMPRODUCT((Kamper!$B$2:$B$5000=$B8)*(Kamper!$D$2:$D$5000=Kamper!$E$2:$E$5000))+SUMPRODUCT((Kamper!$C$2:$C$5000=$B8)*(Kamper!$E$2:$E$5000=Kamper!$D$2:$D$5000))</f>
        <v/>
      </c>
      <c r="F8">
        <f>SUMPRODUCT((Kamper!$B$2:$B$5000=$B8)*(Kamper!$D$2:$D$5000&lt;Kamper!$E$2:$E$5000))+SUMPRODUCT((Kamper!$C$2:$C$5000=$B8)*(Kamper!$E$2:$E$5000&lt;Kamper!$D$2:$D$5000))</f>
        <v/>
      </c>
      <c r="G8">
        <f>SUMIFS(Kamper!$D:$D,Kamper!$B:$B,$B8)+SUMIFS(Kamper!$E:$E,Kamper!$C:$C,$B8)</f>
        <v/>
      </c>
      <c r="H8">
        <f>SUMIFS(Kamper!$E:$E,Kamper!$B:$B,$B8)+SUMIFS(Kamper!$D:$D,Kamper!$C:$C,$B8)</f>
        <v/>
      </c>
      <c r="I8">
        <f>D8*3+E8</f>
        <v/>
      </c>
      <c r="J8">
        <f>I8*1000+(G8-H8)</f>
        <v/>
      </c>
    </row>
    <row r="9">
      <c r="A9">
        <f>RANK(J9,$J$2:$J$21,0)+COUNTIF($J$2:J9,J9)-1</f>
        <v/>
      </c>
      <c r="B9" t="inlineStr">
        <is>
          <t>Crystal Palace</t>
        </is>
      </c>
      <c r="C9">
        <f>D9+E9+F9</f>
        <v/>
      </c>
      <c r="D9">
        <f>SUMPRODUCT((Kamper!$B$2:$B$5000=$B9)*(Kamper!$D$2:$D$5000&gt;Kamper!$E$2:$E$5000))+SUMPRODUCT((Kamper!$C$2:$C$5000=$B9)*(Kamper!$E$2:$E$5000&gt;Kamper!$D$2:$D$5000))</f>
        <v/>
      </c>
      <c r="E9">
        <f>SUMPRODUCT((Kamper!$B$2:$B$5000=$B9)*(Kamper!$D$2:$D$5000=Kamper!$E$2:$E$5000))+SUMPRODUCT((Kamper!$C$2:$C$5000=$B9)*(Kamper!$E$2:$E$5000=Kamper!$D$2:$D$5000))</f>
        <v/>
      </c>
      <c r="F9">
        <f>SUMPRODUCT((Kamper!$B$2:$B$5000=$B9)*(Kamper!$D$2:$D$5000&lt;Kamper!$E$2:$E$5000))+SUMPRODUCT((Kamper!$C$2:$C$5000=$B9)*(Kamper!$E$2:$E$5000&lt;Kamper!$D$2:$D$5000))</f>
        <v/>
      </c>
      <c r="G9">
        <f>SUMIFS(Kamper!$D:$D,Kamper!$B:$B,$B9)+SUMIFS(Kamper!$E:$E,Kamper!$C:$C,$B9)</f>
        <v/>
      </c>
      <c r="H9">
        <f>SUMIFS(Kamper!$E:$E,Kamper!$B:$B,$B9)+SUMIFS(Kamper!$D:$D,Kamper!$C:$C,$B9)</f>
        <v/>
      </c>
      <c r="I9">
        <f>D9*3+E9</f>
        <v/>
      </c>
      <c r="J9">
        <f>I9*1000+(G9-H9)</f>
        <v/>
      </c>
    </row>
    <row r="10">
      <c r="A10">
        <f>RANK(J10,$J$2:$J$21,0)+COUNTIF($J$2:J10,J10)-1</f>
        <v/>
      </c>
      <c r="B10" t="inlineStr">
        <is>
          <t>Everton</t>
        </is>
      </c>
      <c r="C10">
        <f>D10+E10+F10</f>
        <v/>
      </c>
      <c r="D10">
        <f>SUMPRODUCT((Kamper!$B$2:$B$5000=$B10)*(Kamper!$D$2:$D$5000&gt;Kamper!$E$2:$E$5000))+SUMPRODUCT((Kamper!$C$2:$C$5000=$B10)*(Kamper!$E$2:$E$5000&gt;Kamper!$D$2:$D$5000))</f>
        <v/>
      </c>
      <c r="E10">
        <f>SUMPRODUCT((Kamper!$B$2:$B$5000=$B10)*(Kamper!$D$2:$D$5000=Kamper!$E$2:$E$5000))+SUMPRODUCT((Kamper!$C$2:$C$5000=$B10)*(Kamper!$E$2:$E$5000=Kamper!$D$2:$D$5000))</f>
        <v/>
      </c>
      <c r="F10">
        <f>SUMPRODUCT((Kamper!$B$2:$B$5000=$B10)*(Kamper!$D$2:$D$5000&lt;Kamper!$E$2:$E$5000))+SUMPRODUCT((Kamper!$C$2:$C$5000=$B10)*(Kamper!$E$2:$E$5000&lt;Kamper!$D$2:$D$5000))</f>
        <v/>
      </c>
      <c r="G10">
        <f>SUMIFS(Kamper!$D:$D,Kamper!$B:$B,$B10)+SUMIFS(Kamper!$E:$E,Kamper!$C:$C,$B10)</f>
        <v/>
      </c>
      <c r="H10">
        <f>SUMIFS(Kamper!$E:$E,Kamper!$B:$B,$B10)+SUMIFS(Kamper!$D:$D,Kamper!$C:$C,$B10)</f>
        <v/>
      </c>
      <c r="I10">
        <f>D10*3+E10</f>
        <v/>
      </c>
      <c r="J10">
        <f>I10*1000+(G10-H10)</f>
        <v/>
      </c>
    </row>
    <row r="11">
      <c r="A11">
        <f>RANK(J11,$J$2:$J$21,0)+COUNTIF($J$2:J11,J11)-1</f>
        <v/>
      </c>
      <c r="B11" t="inlineStr">
        <is>
          <t>Fulham</t>
        </is>
      </c>
      <c r="C11">
        <f>D11+E11+F11</f>
        <v/>
      </c>
      <c r="D11">
        <f>SUMPRODUCT((Kamper!$B$2:$B$5000=$B11)*(Kamper!$D$2:$D$5000&gt;Kamper!$E$2:$E$5000))+SUMPRODUCT((Kamper!$C$2:$C$5000=$B11)*(Kamper!$E$2:$E$5000&gt;Kamper!$D$2:$D$5000))</f>
        <v/>
      </c>
      <c r="E11">
        <f>SUMPRODUCT((Kamper!$B$2:$B$5000=$B11)*(Kamper!$D$2:$D$5000=Kamper!$E$2:$E$5000))+SUMPRODUCT((Kamper!$C$2:$C$5000=$B11)*(Kamper!$E$2:$E$5000=Kamper!$D$2:$D$5000))</f>
        <v/>
      </c>
      <c r="F11">
        <f>SUMPRODUCT((Kamper!$B$2:$B$5000=$B11)*(Kamper!$D$2:$D$5000&lt;Kamper!$E$2:$E$5000))+SUMPRODUCT((Kamper!$C$2:$C$5000=$B11)*(Kamper!$E$2:$E$5000&lt;Kamper!$D$2:$D$5000))</f>
        <v/>
      </c>
      <c r="G11">
        <f>SUMIFS(Kamper!$D:$D,Kamper!$B:$B,$B11)+SUMIFS(Kamper!$E:$E,Kamper!$C:$C,$B11)</f>
        <v/>
      </c>
      <c r="H11">
        <f>SUMIFS(Kamper!$E:$E,Kamper!$B:$B,$B11)+SUMIFS(Kamper!$D:$D,Kamper!$C:$C,$B11)</f>
        <v/>
      </c>
      <c r="I11">
        <f>D11*3+E11</f>
        <v/>
      </c>
      <c r="J11">
        <f>I11*1000+(G11-H11)</f>
        <v/>
      </c>
    </row>
    <row r="12">
      <c r="A12">
        <f>RANK(J12,$J$2:$J$21,0)+COUNTIF($J$2:J12,J12)-1</f>
        <v/>
      </c>
      <c r="B12" t="inlineStr">
        <is>
          <t>Leeds</t>
        </is>
      </c>
      <c r="C12">
        <f>D12+E12+F12</f>
        <v/>
      </c>
      <c r="D12">
        <f>SUMPRODUCT((Kamper!$B$2:$B$5000=$B12)*(Kamper!$D$2:$D$5000&gt;Kamper!$E$2:$E$5000))+SUMPRODUCT((Kamper!$C$2:$C$5000=$B12)*(Kamper!$E$2:$E$5000&gt;Kamper!$D$2:$D$5000))</f>
        <v/>
      </c>
      <c r="E12">
        <f>SUMPRODUCT((Kamper!$B$2:$B$5000=$B12)*(Kamper!$D$2:$D$5000=Kamper!$E$2:$E$5000))+SUMPRODUCT((Kamper!$C$2:$C$5000=$B12)*(Kamper!$E$2:$E$5000=Kamper!$D$2:$D$5000))</f>
        <v/>
      </c>
      <c r="F12">
        <f>SUMPRODUCT((Kamper!$B$2:$B$5000=$B12)*(Kamper!$D$2:$D$5000&lt;Kamper!$E$2:$E$5000))+SUMPRODUCT((Kamper!$C$2:$C$5000=$B12)*(Kamper!$E$2:$E$5000&lt;Kamper!$D$2:$D$5000))</f>
        <v/>
      </c>
      <c r="G12">
        <f>SUMIFS(Kamper!$D:$D,Kamper!$B:$B,$B12)+SUMIFS(Kamper!$E:$E,Kamper!$C:$C,$B12)</f>
        <v/>
      </c>
      <c r="H12">
        <f>SUMIFS(Kamper!$E:$E,Kamper!$B:$B,$B12)+SUMIFS(Kamper!$D:$D,Kamper!$C:$C,$B12)</f>
        <v/>
      </c>
      <c r="I12">
        <f>D12*3+E12</f>
        <v/>
      </c>
      <c r="J12">
        <f>I12*1000+(G12-H12)</f>
        <v/>
      </c>
    </row>
    <row r="13">
      <c r="A13">
        <f>RANK(J13,$J$2:$J$21,0)+COUNTIF($J$2:J13,J13)-1</f>
        <v/>
      </c>
      <c r="B13" t="inlineStr">
        <is>
          <t>Liverpool</t>
        </is>
      </c>
      <c r="C13">
        <f>D13+E13+F13</f>
        <v/>
      </c>
      <c r="D13">
        <f>SUMPRODUCT((Kamper!$B$2:$B$5000=$B13)*(Kamper!$D$2:$D$5000&gt;Kamper!$E$2:$E$5000))+SUMPRODUCT((Kamper!$C$2:$C$5000=$B13)*(Kamper!$E$2:$E$5000&gt;Kamper!$D$2:$D$5000))</f>
        <v/>
      </c>
      <c r="E13">
        <f>SUMPRODUCT((Kamper!$B$2:$B$5000=$B13)*(Kamper!$D$2:$D$5000=Kamper!$E$2:$E$5000))+SUMPRODUCT((Kamper!$C$2:$C$5000=$B13)*(Kamper!$E$2:$E$5000=Kamper!$D$2:$D$5000))</f>
        <v/>
      </c>
      <c r="F13">
        <f>SUMPRODUCT((Kamper!$B$2:$B$5000=$B13)*(Kamper!$D$2:$D$5000&lt;Kamper!$E$2:$E$5000))+SUMPRODUCT((Kamper!$C$2:$C$5000=$B13)*(Kamper!$E$2:$E$5000&lt;Kamper!$D$2:$D$5000))</f>
        <v/>
      </c>
      <c r="G13">
        <f>SUMIFS(Kamper!$D:$D,Kamper!$B:$B,$B13)+SUMIFS(Kamper!$E:$E,Kamper!$C:$C,$B13)</f>
        <v/>
      </c>
      <c r="H13">
        <f>SUMIFS(Kamper!$E:$E,Kamper!$B:$B,$B13)+SUMIFS(Kamper!$D:$D,Kamper!$C:$C,$B13)</f>
        <v/>
      </c>
      <c r="I13">
        <f>D13*3+E13</f>
        <v/>
      </c>
      <c r="J13">
        <f>I13*1000+(G13-H13)</f>
        <v/>
      </c>
    </row>
    <row r="14">
      <c r="A14">
        <f>RANK(J14,$J$2:$J$21,0)+COUNTIF($J$2:J14,J14)-1</f>
        <v/>
      </c>
      <c r="B14" t="inlineStr">
        <is>
          <t>Man City</t>
        </is>
      </c>
      <c r="C14">
        <f>D14+E14+F14</f>
        <v/>
      </c>
      <c r="D14">
        <f>SUMPRODUCT((Kamper!$B$2:$B$5000=$B14)*(Kamper!$D$2:$D$5000&gt;Kamper!$E$2:$E$5000))+SUMPRODUCT((Kamper!$C$2:$C$5000=$B14)*(Kamper!$E$2:$E$5000&gt;Kamper!$D$2:$D$5000))</f>
        <v/>
      </c>
      <c r="E14">
        <f>SUMPRODUCT((Kamper!$B$2:$B$5000=$B14)*(Kamper!$D$2:$D$5000=Kamper!$E$2:$E$5000))+SUMPRODUCT((Kamper!$C$2:$C$5000=$B14)*(Kamper!$E$2:$E$5000=Kamper!$D$2:$D$5000))</f>
        <v/>
      </c>
      <c r="F14">
        <f>SUMPRODUCT((Kamper!$B$2:$B$5000=$B14)*(Kamper!$D$2:$D$5000&lt;Kamper!$E$2:$E$5000))+SUMPRODUCT((Kamper!$C$2:$C$5000=$B14)*(Kamper!$E$2:$E$5000&lt;Kamper!$D$2:$D$5000))</f>
        <v/>
      </c>
      <c r="G14">
        <f>SUMIFS(Kamper!$D:$D,Kamper!$B:$B,$B14)+SUMIFS(Kamper!$E:$E,Kamper!$C:$C,$B14)</f>
        <v/>
      </c>
      <c r="H14">
        <f>SUMIFS(Kamper!$E:$E,Kamper!$B:$B,$B14)+SUMIFS(Kamper!$D:$D,Kamper!$C:$C,$B14)</f>
        <v/>
      </c>
      <c r="I14">
        <f>D14*3+E14</f>
        <v/>
      </c>
      <c r="J14">
        <f>I14*1000+(G14-H14)</f>
        <v/>
      </c>
    </row>
    <row r="15">
      <c r="A15">
        <f>RANK(J15,$J$2:$J$21,0)+COUNTIF($J$2:J15,J15)-1</f>
        <v/>
      </c>
      <c r="B15" t="inlineStr">
        <is>
          <t>Man United</t>
        </is>
      </c>
      <c r="C15">
        <f>D15+E15+F15</f>
        <v/>
      </c>
      <c r="D15">
        <f>SUMPRODUCT((Kamper!$B$2:$B$5000=$B15)*(Kamper!$D$2:$D$5000&gt;Kamper!$E$2:$E$5000))+SUMPRODUCT((Kamper!$C$2:$C$5000=$B15)*(Kamper!$E$2:$E$5000&gt;Kamper!$D$2:$D$5000))</f>
        <v/>
      </c>
      <c r="E15">
        <f>SUMPRODUCT((Kamper!$B$2:$B$5000=$B15)*(Kamper!$D$2:$D$5000=Kamper!$E$2:$E$5000))+SUMPRODUCT((Kamper!$C$2:$C$5000=$B15)*(Kamper!$E$2:$E$5000=Kamper!$D$2:$D$5000))</f>
        <v/>
      </c>
      <c r="F15">
        <f>SUMPRODUCT((Kamper!$B$2:$B$5000=$B15)*(Kamper!$D$2:$D$5000&lt;Kamper!$E$2:$E$5000))+SUMPRODUCT((Kamper!$C$2:$C$5000=$B15)*(Kamper!$E$2:$E$5000&lt;Kamper!$D$2:$D$5000))</f>
        <v/>
      </c>
      <c r="G15">
        <f>SUMIFS(Kamper!$D:$D,Kamper!$B:$B,$B15)+SUMIFS(Kamper!$E:$E,Kamper!$C:$C,$B15)</f>
        <v/>
      </c>
      <c r="H15">
        <f>SUMIFS(Kamper!$E:$E,Kamper!$B:$B,$B15)+SUMIFS(Kamper!$D:$D,Kamper!$C:$C,$B15)</f>
        <v/>
      </c>
      <c r="I15">
        <f>D15*3+E15</f>
        <v/>
      </c>
      <c r="J15">
        <f>I15*1000+(G15-H15)</f>
        <v/>
      </c>
    </row>
    <row r="16">
      <c r="A16">
        <f>RANK(J16,$J$2:$J$21,0)+COUNTIF($J$2:J16,J16)-1</f>
        <v/>
      </c>
      <c r="B16" t="inlineStr">
        <is>
          <t>Newcastle</t>
        </is>
      </c>
      <c r="C16">
        <f>D16+E16+F16</f>
        <v/>
      </c>
      <c r="D16">
        <f>SUMPRODUCT((Kamper!$B$2:$B$5000=$B16)*(Kamper!$D$2:$D$5000&gt;Kamper!$E$2:$E$5000))+SUMPRODUCT((Kamper!$C$2:$C$5000=$B16)*(Kamper!$E$2:$E$5000&gt;Kamper!$D$2:$D$5000))</f>
        <v/>
      </c>
      <c r="E16">
        <f>SUMPRODUCT((Kamper!$B$2:$B$5000=$B16)*(Kamper!$D$2:$D$5000=Kamper!$E$2:$E$5000))+SUMPRODUCT((Kamper!$C$2:$C$5000=$B16)*(Kamper!$E$2:$E$5000=Kamper!$D$2:$D$5000))</f>
        <v/>
      </c>
      <c r="F16">
        <f>SUMPRODUCT((Kamper!$B$2:$B$5000=$B16)*(Kamper!$D$2:$D$5000&lt;Kamper!$E$2:$E$5000))+SUMPRODUCT((Kamper!$C$2:$C$5000=$B16)*(Kamper!$E$2:$E$5000&lt;Kamper!$D$2:$D$5000))</f>
        <v/>
      </c>
      <c r="G16">
        <f>SUMIFS(Kamper!$D:$D,Kamper!$B:$B,$B16)+SUMIFS(Kamper!$E:$E,Kamper!$C:$C,$B16)</f>
        <v/>
      </c>
      <c r="H16">
        <f>SUMIFS(Kamper!$E:$E,Kamper!$B:$B,$B16)+SUMIFS(Kamper!$D:$D,Kamper!$C:$C,$B16)</f>
        <v/>
      </c>
      <c r="I16">
        <f>D16*3+E16</f>
        <v/>
      </c>
      <c r="J16">
        <f>I16*1000+(G16-H16)</f>
        <v/>
      </c>
    </row>
    <row r="17">
      <c r="A17">
        <f>RANK(J17,$J$2:$J$21,0)+COUNTIF($J$2:J17,J17)-1</f>
        <v/>
      </c>
      <c r="B17" t="inlineStr">
        <is>
          <t>Nott'm Forest</t>
        </is>
      </c>
      <c r="C17">
        <f>D17+E17+F17</f>
        <v/>
      </c>
      <c r="D17">
        <f>SUMPRODUCT((Kamper!$B$2:$B$5000=$B17)*(Kamper!$D$2:$D$5000&gt;Kamper!$E$2:$E$5000))+SUMPRODUCT((Kamper!$C$2:$C$5000=$B17)*(Kamper!$E$2:$E$5000&gt;Kamper!$D$2:$D$5000))</f>
        <v/>
      </c>
      <c r="E17">
        <f>SUMPRODUCT((Kamper!$B$2:$B$5000=$B17)*(Kamper!$D$2:$D$5000=Kamper!$E$2:$E$5000))+SUMPRODUCT((Kamper!$C$2:$C$5000=$B17)*(Kamper!$E$2:$E$5000=Kamper!$D$2:$D$5000))</f>
        <v/>
      </c>
      <c r="F17">
        <f>SUMPRODUCT((Kamper!$B$2:$B$5000=$B17)*(Kamper!$D$2:$D$5000&lt;Kamper!$E$2:$E$5000))+SUMPRODUCT((Kamper!$C$2:$C$5000=$B17)*(Kamper!$E$2:$E$5000&lt;Kamper!$D$2:$D$5000))</f>
        <v/>
      </c>
      <c r="G17">
        <f>SUMIFS(Kamper!$D:$D,Kamper!$B:$B,$B17)+SUMIFS(Kamper!$E:$E,Kamper!$C:$C,$B17)</f>
        <v/>
      </c>
      <c r="H17">
        <f>SUMIFS(Kamper!$E:$E,Kamper!$B:$B,$B17)+SUMIFS(Kamper!$D:$D,Kamper!$C:$C,$B17)</f>
        <v/>
      </c>
      <c r="I17">
        <f>D17*3+E17</f>
        <v/>
      </c>
      <c r="J17">
        <f>I17*1000+(G17-H17)</f>
        <v/>
      </c>
    </row>
    <row r="18">
      <c r="A18">
        <f>RANK(J18,$J$2:$J$21,0)+COUNTIF($J$2:J18,J18)-1</f>
        <v/>
      </c>
      <c r="B18" t="inlineStr">
        <is>
          <t>Sunderland</t>
        </is>
      </c>
      <c r="C18">
        <f>D18+E18+F18</f>
        <v/>
      </c>
      <c r="D18">
        <f>SUMPRODUCT((Kamper!$B$2:$B$5000=$B18)*(Kamper!$D$2:$D$5000&gt;Kamper!$E$2:$E$5000))+SUMPRODUCT((Kamper!$C$2:$C$5000=$B18)*(Kamper!$E$2:$E$5000&gt;Kamper!$D$2:$D$5000))</f>
        <v/>
      </c>
      <c r="E18">
        <f>SUMPRODUCT((Kamper!$B$2:$B$5000=$B18)*(Kamper!$D$2:$D$5000=Kamper!$E$2:$E$5000))+SUMPRODUCT((Kamper!$C$2:$C$5000=$B18)*(Kamper!$E$2:$E$5000=Kamper!$D$2:$D$5000))</f>
        <v/>
      </c>
      <c r="F18">
        <f>SUMPRODUCT((Kamper!$B$2:$B$5000=$B18)*(Kamper!$D$2:$D$5000&lt;Kamper!$E$2:$E$5000))+SUMPRODUCT((Kamper!$C$2:$C$5000=$B18)*(Kamper!$E$2:$E$5000&lt;Kamper!$D$2:$D$5000))</f>
        <v/>
      </c>
      <c r="G18">
        <f>SUMIFS(Kamper!$D:$D,Kamper!$B:$B,$B18)+SUMIFS(Kamper!$E:$E,Kamper!$C:$C,$B18)</f>
        <v/>
      </c>
      <c r="H18">
        <f>SUMIFS(Kamper!$E:$E,Kamper!$B:$B,$B18)+SUMIFS(Kamper!$D:$D,Kamper!$C:$C,$B18)</f>
        <v/>
      </c>
      <c r="I18">
        <f>D18*3+E18</f>
        <v/>
      </c>
      <c r="J18">
        <f>I18*1000+(G18-H18)</f>
        <v/>
      </c>
    </row>
    <row r="19">
      <c r="A19">
        <f>RANK(J19,$J$2:$J$21,0)+COUNTIF($J$2:J19,J19)-1</f>
        <v/>
      </c>
      <c r="B19" t="inlineStr">
        <is>
          <t>Tottenham</t>
        </is>
      </c>
      <c r="C19">
        <f>D19+E19+F19</f>
        <v/>
      </c>
      <c r="D19">
        <f>SUMPRODUCT((Kamper!$B$2:$B$5000=$B19)*(Kamper!$D$2:$D$5000&gt;Kamper!$E$2:$E$5000))+SUMPRODUCT((Kamper!$C$2:$C$5000=$B19)*(Kamper!$E$2:$E$5000&gt;Kamper!$D$2:$D$5000))</f>
        <v/>
      </c>
      <c r="E19">
        <f>SUMPRODUCT((Kamper!$B$2:$B$5000=$B19)*(Kamper!$D$2:$D$5000=Kamper!$E$2:$E$5000))+SUMPRODUCT((Kamper!$C$2:$C$5000=$B19)*(Kamper!$E$2:$E$5000=Kamper!$D$2:$D$5000))</f>
        <v/>
      </c>
      <c r="F19">
        <f>SUMPRODUCT((Kamper!$B$2:$B$5000=$B19)*(Kamper!$D$2:$D$5000&lt;Kamper!$E$2:$E$5000))+SUMPRODUCT((Kamper!$C$2:$C$5000=$B19)*(Kamper!$E$2:$E$5000&lt;Kamper!$D$2:$D$5000))</f>
        <v/>
      </c>
      <c r="G19">
        <f>SUMIFS(Kamper!$D:$D,Kamper!$B:$B,$B19)+SUMIFS(Kamper!$E:$E,Kamper!$C:$C,$B19)</f>
        <v/>
      </c>
      <c r="H19">
        <f>SUMIFS(Kamper!$E:$E,Kamper!$B:$B,$B19)+SUMIFS(Kamper!$D:$D,Kamper!$C:$C,$B19)</f>
        <v/>
      </c>
      <c r="I19">
        <f>D19*3+E19</f>
        <v/>
      </c>
      <c r="J19">
        <f>I19*1000+(G19-H19)</f>
        <v/>
      </c>
    </row>
    <row r="20">
      <c r="A20">
        <f>RANK(J20,$J$2:$J$21,0)+COUNTIF($J$2:J20,J20)-1</f>
        <v/>
      </c>
      <c r="B20" t="inlineStr">
        <is>
          <t>West Ham</t>
        </is>
      </c>
      <c r="C20">
        <f>D20+E20+F20</f>
        <v/>
      </c>
      <c r="D20">
        <f>SUMPRODUCT((Kamper!$B$2:$B$5000=$B20)*(Kamper!$D$2:$D$5000&gt;Kamper!$E$2:$E$5000))+SUMPRODUCT((Kamper!$C$2:$C$5000=$B20)*(Kamper!$E$2:$E$5000&gt;Kamper!$D$2:$D$5000))</f>
        <v/>
      </c>
      <c r="E20">
        <f>SUMPRODUCT((Kamper!$B$2:$B$5000=$B20)*(Kamper!$D$2:$D$5000=Kamper!$E$2:$E$5000))+SUMPRODUCT((Kamper!$C$2:$C$5000=$B20)*(Kamper!$E$2:$E$5000=Kamper!$D$2:$D$5000))</f>
        <v/>
      </c>
      <c r="F20">
        <f>SUMPRODUCT((Kamper!$B$2:$B$5000=$B20)*(Kamper!$D$2:$D$5000&lt;Kamper!$E$2:$E$5000))+SUMPRODUCT((Kamper!$C$2:$C$5000=$B20)*(Kamper!$E$2:$E$5000&lt;Kamper!$D$2:$D$5000))</f>
        <v/>
      </c>
      <c r="G20">
        <f>SUMIFS(Kamper!$D:$D,Kamper!$B:$B,$B20)+SUMIFS(Kamper!$E:$E,Kamper!$C:$C,$B20)</f>
        <v/>
      </c>
      <c r="H20">
        <f>SUMIFS(Kamper!$E:$E,Kamper!$B:$B,$B20)+SUMIFS(Kamper!$D:$D,Kamper!$C:$C,$B20)</f>
        <v/>
      </c>
      <c r="I20">
        <f>D20*3+E20</f>
        <v/>
      </c>
      <c r="J20">
        <f>I20*1000+(G20-H20)</f>
        <v/>
      </c>
    </row>
    <row r="21">
      <c r="A21">
        <f>RANK(J21,$J$2:$J$21,0)+COUNTIF($J$2:J21,J21)-1</f>
        <v/>
      </c>
      <c r="B21" t="inlineStr">
        <is>
          <t>Wolves</t>
        </is>
      </c>
      <c r="C21">
        <f>D21+E21+F21</f>
        <v/>
      </c>
      <c r="D21">
        <f>SUMPRODUCT((Kamper!$B$2:$B$5000=$B21)*(Kamper!$D$2:$D$5000&gt;Kamper!$E$2:$E$5000))+SUMPRODUCT((Kamper!$C$2:$C$5000=$B21)*(Kamper!$E$2:$E$5000&gt;Kamper!$D$2:$D$5000))</f>
        <v/>
      </c>
      <c r="E21">
        <f>SUMPRODUCT((Kamper!$B$2:$B$5000=$B21)*(Kamper!$D$2:$D$5000=Kamper!$E$2:$E$5000))+SUMPRODUCT((Kamper!$C$2:$C$5000=$B21)*(Kamper!$E$2:$E$5000=Kamper!$D$2:$D$5000))</f>
        <v/>
      </c>
      <c r="F21">
        <f>SUMPRODUCT((Kamper!$B$2:$B$5000=$B21)*(Kamper!$D$2:$D$5000&lt;Kamper!$E$2:$E$5000))+SUMPRODUCT((Kamper!$C$2:$C$5000=$B21)*(Kamper!$E$2:$E$5000&lt;Kamper!$D$2:$D$5000))</f>
        <v/>
      </c>
      <c r="G21">
        <f>SUMIFS(Kamper!$D:$D,Kamper!$B:$B,$B21)+SUMIFS(Kamper!$E:$E,Kamper!$C:$C,$B21)</f>
        <v/>
      </c>
      <c r="H21">
        <f>SUMIFS(Kamper!$E:$E,Kamper!$B:$B,$B21)+SUMIFS(Kamper!$D:$D,Kamper!$C:$C,$B21)</f>
        <v/>
      </c>
      <c r="I21">
        <f>D21*3+E21</f>
        <v/>
      </c>
      <c r="J21">
        <f>I21*1000+(G21-H21)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</cols>
  <sheetData>
    <row r="1">
      <c r="A1" s="2" t="inlineStr">
        <is>
          <t>Pos</t>
        </is>
      </c>
      <c r="B1" s="2" t="inlineStr">
        <is>
          <t>Team</t>
        </is>
      </c>
      <c r="C1" s="2" t="inlineStr">
        <is>
          <t>MP</t>
        </is>
      </c>
      <c r="D1" s="2" t="inlineStr">
        <is>
          <t>W</t>
        </is>
      </c>
      <c r="E1" s="2" t="inlineStr">
        <is>
          <t>D</t>
        </is>
      </c>
      <c r="F1" s="2" t="inlineStr">
        <is>
          <t>L</t>
        </is>
      </c>
      <c r="G1" s="2" t="inlineStr">
        <is>
          <t>GF</t>
        </is>
      </c>
      <c r="H1" s="2" t="inlineStr">
        <is>
          <t>GA</t>
        </is>
      </c>
      <c r="I1" s="2" t="inlineStr">
        <is>
          <t>Pts</t>
        </is>
      </c>
    </row>
    <row r="2">
      <c r="A2" t="n">
        <v>1</v>
      </c>
      <c r="B2">
        <f>IFERROR(INDEX(Tabell!$B$2:$B$21,MATCH($A2,Tabell!$A$2:$A$21,0)),"")</f>
        <v/>
      </c>
      <c r="C2">
        <f>IFERROR(INDEX(Tabell!$C$2:$C$21,MATCH($A2,Tabell!$A$2:$A$21,0)),"")</f>
        <v/>
      </c>
      <c r="D2">
        <f>IFERROR(INDEX(Tabell!$D$2:$D$21,MATCH($A2,Tabell!$A$2:$A$21,0)),"")</f>
        <v/>
      </c>
      <c r="E2">
        <f>IFERROR(INDEX(Tabell!$E$2:$E$21,MATCH($A2,Tabell!$A$2:$A$21,0)),"")</f>
        <v/>
      </c>
      <c r="F2">
        <f>IFERROR(INDEX(Tabell!$F$2:$F$21,MATCH($A2,Tabell!$A$2:$A$21,0)),"")</f>
        <v/>
      </c>
      <c r="G2">
        <f>IFERROR(INDEX(Tabell!$G$2:$G$21,MATCH($A2,Tabell!$A$2:$A$21,0)),"")</f>
        <v/>
      </c>
      <c r="H2">
        <f>IFERROR(INDEX(Tabell!$H$2:$H$21,MATCH($A2,Tabell!$A$2:$A$21,0)),"")</f>
        <v/>
      </c>
      <c r="I2">
        <f>IFERROR(INDEX(Tabell!$I$2:$I$21,MATCH($A2,Tabell!$A$2:$A$21,0)),"")</f>
        <v/>
      </c>
    </row>
    <row r="3">
      <c r="A3" t="n">
        <v>2</v>
      </c>
      <c r="B3">
        <f>IFERROR(INDEX(Tabell!$B$2:$B$21,MATCH($A3,Tabell!$A$2:$A$21,0)),"")</f>
        <v/>
      </c>
      <c r="C3">
        <f>IFERROR(INDEX(Tabell!$C$2:$C$21,MATCH($A3,Tabell!$A$2:$A$21,0)),"")</f>
        <v/>
      </c>
      <c r="D3">
        <f>IFERROR(INDEX(Tabell!$D$2:$D$21,MATCH($A3,Tabell!$A$2:$A$21,0)),"")</f>
        <v/>
      </c>
      <c r="E3">
        <f>IFERROR(INDEX(Tabell!$E$2:$E$21,MATCH($A3,Tabell!$A$2:$A$21,0)),"")</f>
        <v/>
      </c>
      <c r="F3">
        <f>IFERROR(INDEX(Tabell!$F$2:$F$21,MATCH($A3,Tabell!$A$2:$A$21,0)),"")</f>
        <v/>
      </c>
      <c r="G3">
        <f>IFERROR(INDEX(Tabell!$G$2:$G$21,MATCH($A3,Tabell!$A$2:$A$21,0)),"")</f>
        <v/>
      </c>
      <c r="H3">
        <f>IFERROR(INDEX(Tabell!$H$2:$H$21,MATCH($A3,Tabell!$A$2:$A$21,0)),"")</f>
        <v/>
      </c>
      <c r="I3">
        <f>IFERROR(INDEX(Tabell!$I$2:$I$21,MATCH($A3,Tabell!$A$2:$A$21,0)),"")</f>
        <v/>
      </c>
    </row>
    <row r="4">
      <c r="A4" t="n">
        <v>3</v>
      </c>
      <c r="B4">
        <f>IFERROR(INDEX(Tabell!$B$2:$B$21,MATCH($A4,Tabell!$A$2:$A$21,0)),"")</f>
        <v/>
      </c>
      <c r="C4">
        <f>IFERROR(INDEX(Tabell!$C$2:$C$21,MATCH($A4,Tabell!$A$2:$A$21,0)),"")</f>
        <v/>
      </c>
      <c r="D4">
        <f>IFERROR(INDEX(Tabell!$D$2:$D$21,MATCH($A4,Tabell!$A$2:$A$21,0)),"")</f>
        <v/>
      </c>
      <c r="E4">
        <f>IFERROR(INDEX(Tabell!$E$2:$E$21,MATCH($A4,Tabell!$A$2:$A$21,0)),"")</f>
        <v/>
      </c>
      <c r="F4">
        <f>IFERROR(INDEX(Tabell!$F$2:$F$21,MATCH($A4,Tabell!$A$2:$A$21,0)),"")</f>
        <v/>
      </c>
      <c r="G4">
        <f>IFERROR(INDEX(Tabell!$G$2:$G$21,MATCH($A4,Tabell!$A$2:$A$21,0)),"")</f>
        <v/>
      </c>
      <c r="H4">
        <f>IFERROR(INDEX(Tabell!$H$2:$H$21,MATCH($A4,Tabell!$A$2:$A$21,0)),"")</f>
        <v/>
      </c>
      <c r="I4">
        <f>IFERROR(INDEX(Tabell!$I$2:$I$21,MATCH($A4,Tabell!$A$2:$A$21,0)),"")</f>
        <v/>
      </c>
    </row>
    <row r="5">
      <c r="A5" t="n">
        <v>4</v>
      </c>
      <c r="B5">
        <f>IFERROR(INDEX(Tabell!$B$2:$B$21,MATCH($A5,Tabell!$A$2:$A$21,0)),"")</f>
        <v/>
      </c>
      <c r="C5">
        <f>IFERROR(INDEX(Tabell!$C$2:$C$21,MATCH($A5,Tabell!$A$2:$A$21,0)),"")</f>
        <v/>
      </c>
      <c r="D5">
        <f>IFERROR(INDEX(Tabell!$D$2:$D$21,MATCH($A5,Tabell!$A$2:$A$21,0)),"")</f>
        <v/>
      </c>
      <c r="E5">
        <f>IFERROR(INDEX(Tabell!$E$2:$E$21,MATCH($A5,Tabell!$A$2:$A$21,0)),"")</f>
        <v/>
      </c>
      <c r="F5">
        <f>IFERROR(INDEX(Tabell!$F$2:$F$21,MATCH($A5,Tabell!$A$2:$A$21,0)),"")</f>
        <v/>
      </c>
      <c r="G5">
        <f>IFERROR(INDEX(Tabell!$G$2:$G$21,MATCH($A5,Tabell!$A$2:$A$21,0)),"")</f>
        <v/>
      </c>
      <c r="H5">
        <f>IFERROR(INDEX(Tabell!$H$2:$H$21,MATCH($A5,Tabell!$A$2:$A$21,0)),"")</f>
        <v/>
      </c>
      <c r="I5">
        <f>IFERROR(INDEX(Tabell!$I$2:$I$21,MATCH($A5,Tabell!$A$2:$A$21,0)),"")</f>
        <v/>
      </c>
    </row>
    <row r="6">
      <c r="A6" t="n">
        <v>5</v>
      </c>
      <c r="B6">
        <f>IFERROR(INDEX(Tabell!$B$2:$B$21,MATCH($A6,Tabell!$A$2:$A$21,0)),"")</f>
        <v/>
      </c>
      <c r="C6">
        <f>IFERROR(INDEX(Tabell!$C$2:$C$21,MATCH($A6,Tabell!$A$2:$A$21,0)),"")</f>
        <v/>
      </c>
      <c r="D6">
        <f>IFERROR(INDEX(Tabell!$D$2:$D$21,MATCH($A6,Tabell!$A$2:$A$21,0)),"")</f>
        <v/>
      </c>
      <c r="E6">
        <f>IFERROR(INDEX(Tabell!$E$2:$E$21,MATCH($A6,Tabell!$A$2:$A$21,0)),"")</f>
        <v/>
      </c>
      <c r="F6">
        <f>IFERROR(INDEX(Tabell!$F$2:$F$21,MATCH($A6,Tabell!$A$2:$A$21,0)),"")</f>
        <v/>
      </c>
      <c r="G6">
        <f>IFERROR(INDEX(Tabell!$G$2:$G$21,MATCH($A6,Tabell!$A$2:$A$21,0)),"")</f>
        <v/>
      </c>
      <c r="H6">
        <f>IFERROR(INDEX(Tabell!$H$2:$H$21,MATCH($A6,Tabell!$A$2:$A$21,0)),"")</f>
        <v/>
      </c>
      <c r="I6">
        <f>IFERROR(INDEX(Tabell!$I$2:$I$21,MATCH($A6,Tabell!$A$2:$A$21,0)),"")</f>
        <v/>
      </c>
    </row>
    <row r="7">
      <c r="A7" t="n">
        <v>6</v>
      </c>
      <c r="B7">
        <f>IFERROR(INDEX(Tabell!$B$2:$B$21,MATCH($A7,Tabell!$A$2:$A$21,0)),"")</f>
        <v/>
      </c>
      <c r="C7">
        <f>IFERROR(INDEX(Tabell!$C$2:$C$21,MATCH($A7,Tabell!$A$2:$A$21,0)),"")</f>
        <v/>
      </c>
      <c r="D7">
        <f>IFERROR(INDEX(Tabell!$D$2:$D$21,MATCH($A7,Tabell!$A$2:$A$21,0)),"")</f>
        <v/>
      </c>
      <c r="E7">
        <f>IFERROR(INDEX(Tabell!$E$2:$E$21,MATCH($A7,Tabell!$A$2:$A$21,0)),"")</f>
        <v/>
      </c>
      <c r="F7">
        <f>IFERROR(INDEX(Tabell!$F$2:$F$21,MATCH($A7,Tabell!$A$2:$A$21,0)),"")</f>
        <v/>
      </c>
      <c r="G7">
        <f>IFERROR(INDEX(Tabell!$G$2:$G$21,MATCH($A7,Tabell!$A$2:$A$21,0)),"")</f>
        <v/>
      </c>
      <c r="H7">
        <f>IFERROR(INDEX(Tabell!$H$2:$H$21,MATCH($A7,Tabell!$A$2:$A$21,0)),"")</f>
        <v/>
      </c>
      <c r="I7">
        <f>IFERROR(INDEX(Tabell!$I$2:$I$21,MATCH($A7,Tabell!$A$2:$A$21,0)),"")</f>
        <v/>
      </c>
    </row>
    <row r="8">
      <c r="A8" t="n">
        <v>7</v>
      </c>
      <c r="B8">
        <f>IFERROR(INDEX(Tabell!$B$2:$B$21,MATCH($A8,Tabell!$A$2:$A$21,0)),"")</f>
        <v/>
      </c>
      <c r="C8">
        <f>IFERROR(INDEX(Tabell!$C$2:$C$21,MATCH($A8,Tabell!$A$2:$A$21,0)),"")</f>
        <v/>
      </c>
      <c r="D8">
        <f>IFERROR(INDEX(Tabell!$D$2:$D$21,MATCH($A8,Tabell!$A$2:$A$21,0)),"")</f>
        <v/>
      </c>
      <c r="E8">
        <f>IFERROR(INDEX(Tabell!$E$2:$E$21,MATCH($A8,Tabell!$A$2:$A$21,0)),"")</f>
        <v/>
      </c>
      <c r="F8">
        <f>IFERROR(INDEX(Tabell!$F$2:$F$21,MATCH($A8,Tabell!$A$2:$A$21,0)),"")</f>
        <v/>
      </c>
      <c r="G8">
        <f>IFERROR(INDEX(Tabell!$G$2:$G$21,MATCH($A8,Tabell!$A$2:$A$21,0)),"")</f>
        <v/>
      </c>
      <c r="H8">
        <f>IFERROR(INDEX(Tabell!$H$2:$H$21,MATCH($A8,Tabell!$A$2:$A$21,0)),"")</f>
        <v/>
      </c>
      <c r="I8">
        <f>IFERROR(INDEX(Tabell!$I$2:$I$21,MATCH($A8,Tabell!$A$2:$A$21,0)),"")</f>
        <v/>
      </c>
    </row>
    <row r="9">
      <c r="A9" t="n">
        <v>8</v>
      </c>
      <c r="B9">
        <f>IFERROR(INDEX(Tabell!$B$2:$B$21,MATCH($A9,Tabell!$A$2:$A$21,0)),"")</f>
        <v/>
      </c>
      <c r="C9">
        <f>IFERROR(INDEX(Tabell!$C$2:$C$21,MATCH($A9,Tabell!$A$2:$A$21,0)),"")</f>
        <v/>
      </c>
      <c r="D9">
        <f>IFERROR(INDEX(Tabell!$D$2:$D$21,MATCH($A9,Tabell!$A$2:$A$21,0)),"")</f>
        <v/>
      </c>
      <c r="E9">
        <f>IFERROR(INDEX(Tabell!$E$2:$E$21,MATCH($A9,Tabell!$A$2:$A$21,0)),"")</f>
        <v/>
      </c>
      <c r="F9">
        <f>IFERROR(INDEX(Tabell!$F$2:$F$21,MATCH($A9,Tabell!$A$2:$A$21,0)),"")</f>
        <v/>
      </c>
      <c r="G9">
        <f>IFERROR(INDEX(Tabell!$G$2:$G$21,MATCH($A9,Tabell!$A$2:$A$21,0)),"")</f>
        <v/>
      </c>
      <c r="H9">
        <f>IFERROR(INDEX(Tabell!$H$2:$H$21,MATCH($A9,Tabell!$A$2:$A$21,0)),"")</f>
        <v/>
      </c>
      <c r="I9">
        <f>IFERROR(INDEX(Tabell!$I$2:$I$21,MATCH($A9,Tabell!$A$2:$A$21,0)),"")</f>
        <v/>
      </c>
    </row>
    <row r="10">
      <c r="A10" t="n">
        <v>9</v>
      </c>
      <c r="B10">
        <f>IFERROR(INDEX(Tabell!$B$2:$B$21,MATCH($A10,Tabell!$A$2:$A$21,0)),"")</f>
        <v/>
      </c>
      <c r="C10">
        <f>IFERROR(INDEX(Tabell!$C$2:$C$21,MATCH($A10,Tabell!$A$2:$A$21,0)),"")</f>
        <v/>
      </c>
      <c r="D10">
        <f>IFERROR(INDEX(Tabell!$D$2:$D$21,MATCH($A10,Tabell!$A$2:$A$21,0)),"")</f>
        <v/>
      </c>
      <c r="E10">
        <f>IFERROR(INDEX(Tabell!$E$2:$E$21,MATCH($A10,Tabell!$A$2:$A$21,0)),"")</f>
        <v/>
      </c>
      <c r="F10">
        <f>IFERROR(INDEX(Tabell!$F$2:$F$21,MATCH($A10,Tabell!$A$2:$A$21,0)),"")</f>
        <v/>
      </c>
      <c r="G10">
        <f>IFERROR(INDEX(Tabell!$G$2:$G$21,MATCH($A10,Tabell!$A$2:$A$21,0)),"")</f>
        <v/>
      </c>
      <c r="H10">
        <f>IFERROR(INDEX(Tabell!$H$2:$H$21,MATCH($A10,Tabell!$A$2:$A$21,0)),"")</f>
        <v/>
      </c>
      <c r="I10">
        <f>IFERROR(INDEX(Tabell!$I$2:$I$21,MATCH($A10,Tabell!$A$2:$A$21,0)),"")</f>
        <v/>
      </c>
    </row>
    <row r="11">
      <c r="A11" t="n">
        <v>10</v>
      </c>
      <c r="B11">
        <f>IFERROR(INDEX(Tabell!$B$2:$B$21,MATCH($A11,Tabell!$A$2:$A$21,0)),"")</f>
        <v/>
      </c>
      <c r="C11">
        <f>IFERROR(INDEX(Tabell!$C$2:$C$21,MATCH($A11,Tabell!$A$2:$A$21,0)),"")</f>
        <v/>
      </c>
      <c r="D11">
        <f>IFERROR(INDEX(Tabell!$D$2:$D$21,MATCH($A11,Tabell!$A$2:$A$21,0)),"")</f>
        <v/>
      </c>
      <c r="E11">
        <f>IFERROR(INDEX(Tabell!$E$2:$E$21,MATCH($A11,Tabell!$A$2:$A$21,0)),"")</f>
        <v/>
      </c>
      <c r="F11">
        <f>IFERROR(INDEX(Tabell!$F$2:$F$21,MATCH($A11,Tabell!$A$2:$A$21,0)),"")</f>
        <v/>
      </c>
      <c r="G11">
        <f>IFERROR(INDEX(Tabell!$G$2:$G$21,MATCH($A11,Tabell!$A$2:$A$21,0)),"")</f>
        <v/>
      </c>
      <c r="H11">
        <f>IFERROR(INDEX(Tabell!$H$2:$H$21,MATCH($A11,Tabell!$A$2:$A$21,0)),"")</f>
        <v/>
      </c>
      <c r="I11">
        <f>IFERROR(INDEX(Tabell!$I$2:$I$21,MATCH($A11,Tabell!$A$2:$A$21,0)),"")</f>
        <v/>
      </c>
    </row>
    <row r="12">
      <c r="A12" t="n">
        <v>11</v>
      </c>
      <c r="B12">
        <f>IFERROR(INDEX(Tabell!$B$2:$B$21,MATCH($A12,Tabell!$A$2:$A$21,0)),"")</f>
        <v/>
      </c>
      <c r="C12">
        <f>IFERROR(INDEX(Tabell!$C$2:$C$21,MATCH($A12,Tabell!$A$2:$A$21,0)),"")</f>
        <v/>
      </c>
      <c r="D12">
        <f>IFERROR(INDEX(Tabell!$D$2:$D$21,MATCH($A12,Tabell!$A$2:$A$21,0)),"")</f>
        <v/>
      </c>
      <c r="E12">
        <f>IFERROR(INDEX(Tabell!$E$2:$E$21,MATCH($A12,Tabell!$A$2:$A$21,0)),"")</f>
        <v/>
      </c>
      <c r="F12">
        <f>IFERROR(INDEX(Tabell!$F$2:$F$21,MATCH($A12,Tabell!$A$2:$A$21,0)),"")</f>
        <v/>
      </c>
      <c r="G12">
        <f>IFERROR(INDEX(Tabell!$G$2:$G$21,MATCH($A12,Tabell!$A$2:$A$21,0)),"")</f>
        <v/>
      </c>
      <c r="H12">
        <f>IFERROR(INDEX(Tabell!$H$2:$H$21,MATCH($A12,Tabell!$A$2:$A$21,0)),"")</f>
        <v/>
      </c>
      <c r="I12">
        <f>IFERROR(INDEX(Tabell!$I$2:$I$21,MATCH($A12,Tabell!$A$2:$A$21,0)),"")</f>
        <v/>
      </c>
    </row>
    <row r="13">
      <c r="A13" t="n">
        <v>12</v>
      </c>
      <c r="B13">
        <f>IFERROR(INDEX(Tabell!$B$2:$B$21,MATCH($A13,Tabell!$A$2:$A$21,0)),"")</f>
        <v/>
      </c>
      <c r="C13">
        <f>IFERROR(INDEX(Tabell!$C$2:$C$21,MATCH($A13,Tabell!$A$2:$A$21,0)),"")</f>
        <v/>
      </c>
      <c r="D13">
        <f>IFERROR(INDEX(Tabell!$D$2:$D$21,MATCH($A13,Tabell!$A$2:$A$21,0)),"")</f>
        <v/>
      </c>
      <c r="E13">
        <f>IFERROR(INDEX(Tabell!$E$2:$E$21,MATCH($A13,Tabell!$A$2:$A$21,0)),"")</f>
        <v/>
      </c>
      <c r="F13">
        <f>IFERROR(INDEX(Tabell!$F$2:$F$21,MATCH($A13,Tabell!$A$2:$A$21,0)),"")</f>
        <v/>
      </c>
      <c r="G13">
        <f>IFERROR(INDEX(Tabell!$G$2:$G$21,MATCH($A13,Tabell!$A$2:$A$21,0)),"")</f>
        <v/>
      </c>
      <c r="H13">
        <f>IFERROR(INDEX(Tabell!$H$2:$H$21,MATCH($A13,Tabell!$A$2:$A$21,0)),"")</f>
        <v/>
      </c>
      <c r="I13">
        <f>IFERROR(INDEX(Tabell!$I$2:$I$21,MATCH($A13,Tabell!$A$2:$A$21,0)),"")</f>
        <v/>
      </c>
    </row>
    <row r="14">
      <c r="A14" t="n">
        <v>13</v>
      </c>
      <c r="B14">
        <f>IFERROR(INDEX(Tabell!$B$2:$B$21,MATCH($A14,Tabell!$A$2:$A$21,0)),"")</f>
        <v/>
      </c>
      <c r="C14">
        <f>IFERROR(INDEX(Tabell!$C$2:$C$21,MATCH($A14,Tabell!$A$2:$A$21,0)),"")</f>
        <v/>
      </c>
      <c r="D14">
        <f>IFERROR(INDEX(Tabell!$D$2:$D$21,MATCH($A14,Tabell!$A$2:$A$21,0)),"")</f>
        <v/>
      </c>
      <c r="E14">
        <f>IFERROR(INDEX(Tabell!$E$2:$E$21,MATCH($A14,Tabell!$A$2:$A$21,0)),"")</f>
        <v/>
      </c>
      <c r="F14">
        <f>IFERROR(INDEX(Tabell!$F$2:$F$21,MATCH($A14,Tabell!$A$2:$A$21,0)),"")</f>
        <v/>
      </c>
      <c r="G14">
        <f>IFERROR(INDEX(Tabell!$G$2:$G$21,MATCH($A14,Tabell!$A$2:$A$21,0)),"")</f>
        <v/>
      </c>
      <c r="H14">
        <f>IFERROR(INDEX(Tabell!$H$2:$H$21,MATCH($A14,Tabell!$A$2:$A$21,0)),"")</f>
        <v/>
      </c>
      <c r="I14">
        <f>IFERROR(INDEX(Tabell!$I$2:$I$21,MATCH($A14,Tabell!$A$2:$A$21,0)),"")</f>
        <v/>
      </c>
    </row>
    <row r="15">
      <c r="A15" t="n">
        <v>14</v>
      </c>
      <c r="B15">
        <f>IFERROR(INDEX(Tabell!$B$2:$B$21,MATCH($A15,Tabell!$A$2:$A$21,0)),"")</f>
        <v/>
      </c>
      <c r="C15">
        <f>IFERROR(INDEX(Tabell!$C$2:$C$21,MATCH($A15,Tabell!$A$2:$A$21,0)),"")</f>
        <v/>
      </c>
      <c r="D15">
        <f>IFERROR(INDEX(Tabell!$D$2:$D$21,MATCH($A15,Tabell!$A$2:$A$21,0)),"")</f>
        <v/>
      </c>
      <c r="E15">
        <f>IFERROR(INDEX(Tabell!$E$2:$E$21,MATCH($A15,Tabell!$A$2:$A$21,0)),"")</f>
        <v/>
      </c>
      <c r="F15">
        <f>IFERROR(INDEX(Tabell!$F$2:$F$21,MATCH($A15,Tabell!$A$2:$A$21,0)),"")</f>
        <v/>
      </c>
      <c r="G15">
        <f>IFERROR(INDEX(Tabell!$G$2:$G$21,MATCH($A15,Tabell!$A$2:$A$21,0)),"")</f>
        <v/>
      </c>
      <c r="H15">
        <f>IFERROR(INDEX(Tabell!$H$2:$H$21,MATCH($A15,Tabell!$A$2:$A$21,0)),"")</f>
        <v/>
      </c>
      <c r="I15">
        <f>IFERROR(INDEX(Tabell!$I$2:$I$21,MATCH($A15,Tabell!$A$2:$A$21,0)),"")</f>
        <v/>
      </c>
    </row>
    <row r="16">
      <c r="A16" t="n">
        <v>15</v>
      </c>
      <c r="B16">
        <f>IFERROR(INDEX(Tabell!$B$2:$B$21,MATCH($A16,Tabell!$A$2:$A$21,0)),"")</f>
        <v/>
      </c>
      <c r="C16">
        <f>IFERROR(INDEX(Tabell!$C$2:$C$21,MATCH($A16,Tabell!$A$2:$A$21,0)),"")</f>
        <v/>
      </c>
      <c r="D16">
        <f>IFERROR(INDEX(Tabell!$D$2:$D$21,MATCH($A16,Tabell!$A$2:$A$21,0)),"")</f>
        <v/>
      </c>
      <c r="E16">
        <f>IFERROR(INDEX(Tabell!$E$2:$E$21,MATCH($A16,Tabell!$A$2:$A$21,0)),"")</f>
        <v/>
      </c>
      <c r="F16">
        <f>IFERROR(INDEX(Tabell!$F$2:$F$21,MATCH($A16,Tabell!$A$2:$A$21,0)),"")</f>
        <v/>
      </c>
      <c r="G16">
        <f>IFERROR(INDEX(Tabell!$G$2:$G$21,MATCH($A16,Tabell!$A$2:$A$21,0)),"")</f>
        <v/>
      </c>
      <c r="H16">
        <f>IFERROR(INDEX(Tabell!$H$2:$H$21,MATCH($A16,Tabell!$A$2:$A$21,0)),"")</f>
        <v/>
      </c>
      <c r="I16">
        <f>IFERROR(INDEX(Tabell!$I$2:$I$21,MATCH($A16,Tabell!$A$2:$A$21,0)),"")</f>
        <v/>
      </c>
    </row>
    <row r="17">
      <c r="A17" t="n">
        <v>16</v>
      </c>
      <c r="B17">
        <f>IFERROR(INDEX(Tabell!$B$2:$B$21,MATCH($A17,Tabell!$A$2:$A$21,0)),"")</f>
        <v/>
      </c>
      <c r="C17">
        <f>IFERROR(INDEX(Tabell!$C$2:$C$21,MATCH($A17,Tabell!$A$2:$A$21,0)),"")</f>
        <v/>
      </c>
      <c r="D17">
        <f>IFERROR(INDEX(Tabell!$D$2:$D$21,MATCH($A17,Tabell!$A$2:$A$21,0)),"")</f>
        <v/>
      </c>
      <c r="E17">
        <f>IFERROR(INDEX(Tabell!$E$2:$E$21,MATCH($A17,Tabell!$A$2:$A$21,0)),"")</f>
        <v/>
      </c>
      <c r="F17">
        <f>IFERROR(INDEX(Tabell!$F$2:$F$21,MATCH($A17,Tabell!$A$2:$A$21,0)),"")</f>
        <v/>
      </c>
      <c r="G17">
        <f>IFERROR(INDEX(Tabell!$G$2:$G$21,MATCH($A17,Tabell!$A$2:$A$21,0)),"")</f>
        <v/>
      </c>
      <c r="H17">
        <f>IFERROR(INDEX(Tabell!$H$2:$H$21,MATCH($A17,Tabell!$A$2:$A$21,0)),"")</f>
        <v/>
      </c>
      <c r="I17">
        <f>IFERROR(INDEX(Tabell!$I$2:$I$21,MATCH($A17,Tabell!$A$2:$A$21,0)),"")</f>
        <v/>
      </c>
    </row>
    <row r="18">
      <c r="A18" t="n">
        <v>17</v>
      </c>
      <c r="B18">
        <f>IFERROR(INDEX(Tabell!$B$2:$B$21,MATCH($A18,Tabell!$A$2:$A$21,0)),"")</f>
        <v/>
      </c>
      <c r="C18">
        <f>IFERROR(INDEX(Tabell!$C$2:$C$21,MATCH($A18,Tabell!$A$2:$A$21,0)),"")</f>
        <v/>
      </c>
      <c r="D18">
        <f>IFERROR(INDEX(Tabell!$D$2:$D$21,MATCH($A18,Tabell!$A$2:$A$21,0)),"")</f>
        <v/>
      </c>
      <c r="E18">
        <f>IFERROR(INDEX(Tabell!$E$2:$E$21,MATCH($A18,Tabell!$A$2:$A$21,0)),"")</f>
        <v/>
      </c>
      <c r="F18">
        <f>IFERROR(INDEX(Tabell!$F$2:$F$21,MATCH($A18,Tabell!$A$2:$A$21,0)),"")</f>
        <v/>
      </c>
      <c r="G18">
        <f>IFERROR(INDEX(Tabell!$G$2:$G$21,MATCH($A18,Tabell!$A$2:$A$21,0)),"")</f>
        <v/>
      </c>
      <c r="H18">
        <f>IFERROR(INDEX(Tabell!$H$2:$H$21,MATCH($A18,Tabell!$A$2:$A$21,0)),"")</f>
        <v/>
      </c>
      <c r="I18">
        <f>IFERROR(INDEX(Tabell!$I$2:$I$21,MATCH($A18,Tabell!$A$2:$A$21,0)),"")</f>
        <v/>
      </c>
    </row>
    <row r="19">
      <c r="A19" t="n">
        <v>18</v>
      </c>
      <c r="B19">
        <f>IFERROR(INDEX(Tabell!$B$2:$B$21,MATCH($A19,Tabell!$A$2:$A$21,0)),"")</f>
        <v/>
      </c>
      <c r="C19">
        <f>IFERROR(INDEX(Tabell!$C$2:$C$21,MATCH($A19,Tabell!$A$2:$A$21,0)),"")</f>
        <v/>
      </c>
      <c r="D19">
        <f>IFERROR(INDEX(Tabell!$D$2:$D$21,MATCH($A19,Tabell!$A$2:$A$21,0)),"")</f>
        <v/>
      </c>
      <c r="E19">
        <f>IFERROR(INDEX(Tabell!$E$2:$E$21,MATCH($A19,Tabell!$A$2:$A$21,0)),"")</f>
        <v/>
      </c>
      <c r="F19">
        <f>IFERROR(INDEX(Tabell!$F$2:$F$21,MATCH($A19,Tabell!$A$2:$A$21,0)),"")</f>
        <v/>
      </c>
      <c r="G19">
        <f>IFERROR(INDEX(Tabell!$G$2:$G$21,MATCH($A19,Tabell!$A$2:$A$21,0)),"")</f>
        <v/>
      </c>
      <c r="H19">
        <f>IFERROR(INDEX(Tabell!$H$2:$H$21,MATCH($A19,Tabell!$A$2:$A$21,0)),"")</f>
        <v/>
      </c>
      <c r="I19">
        <f>IFERROR(INDEX(Tabell!$I$2:$I$21,MATCH($A19,Tabell!$A$2:$A$21,0)),"")</f>
        <v/>
      </c>
    </row>
    <row r="20">
      <c r="A20" t="n">
        <v>19</v>
      </c>
      <c r="B20">
        <f>IFERROR(INDEX(Tabell!$B$2:$B$21,MATCH($A20,Tabell!$A$2:$A$21,0)),"")</f>
        <v/>
      </c>
      <c r="C20">
        <f>IFERROR(INDEX(Tabell!$C$2:$C$21,MATCH($A20,Tabell!$A$2:$A$21,0)),"")</f>
        <v/>
      </c>
      <c r="D20">
        <f>IFERROR(INDEX(Tabell!$D$2:$D$21,MATCH($A20,Tabell!$A$2:$A$21,0)),"")</f>
        <v/>
      </c>
      <c r="E20">
        <f>IFERROR(INDEX(Tabell!$E$2:$E$21,MATCH($A20,Tabell!$A$2:$A$21,0)),"")</f>
        <v/>
      </c>
      <c r="F20">
        <f>IFERROR(INDEX(Tabell!$F$2:$F$21,MATCH($A20,Tabell!$A$2:$A$21,0)),"")</f>
        <v/>
      </c>
      <c r="G20">
        <f>IFERROR(INDEX(Tabell!$G$2:$G$21,MATCH($A20,Tabell!$A$2:$A$21,0)),"")</f>
        <v/>
      </c>
      <c r="H20">
        <f>IFERROR(INDEX(Tabell!$H$2:$H$21,MATCH($A20,Tabell!$A$2:$A$21,0)),"")</f>
        <v/>
      </c>
      <c r="I20">
        <f>IFERROR(INDEX(Tabell!$I$2:$I$21,MATCH($A20,Tabell!$A$2:$A$21,0)),"")</f>
        <v/>
      </c>
    </row>
    <row r="21">
      <c r="A21" t="n">
        <v>20</v>
      </c>
      <c r="B21">
        <f>IFERROR(INDEX(Tabell!$B$2:$B$21,MATCH($A21,Tabell!$A$2:$A$21,0)),"")</f>
        <v/>
      </c>
      <c r="C21">
        <f>IFERROR(INDEX(Tabell!$C$2:$C$21,MATCH($A21,Tabell!$A$2:$A$21,0)),"")</f>
        <v/>
      </c>
      <c r="D21">
        <f>IFERROR(INDEX(Tabell!$D$2:$D$21,MATCH($A21,Tabell!$A$2:$A$21,0)),"")</f>
        <v/>
      </c>
      <c r="E21">
        <f>IFERROR(INDEX(Tabell!$E$2:$E$21,MATCH($A21,Tabell!$A$2:$A$21,0)),"")</f>
        <v/>
      </c>
      <c r="F21">
        <f>IFERROR(INDEX(Tabell!$F$2:$F$21,MATCH($A21,Tabell!$A$2:$A$21,0)),"")</f>
        <v/>
      </c>
      <c r="G21">
        <f>IFERROR(INDEX(Tabell!$G$2:$G$21,MATCH($A21,Tabell!$A$2:$A$21,0)),"")</f>
        <v/>
      </c>
      <c r="H21">
        <f>IFERROR(INDEX(Tabell!$H$2:$H$21,MATCH($A21,Tabell!$A$2:$A$21,0)),"")</f>
        <v/>
      </c>
      <c r="I21">
        <f>IFERROR(INDEX(Tabell!$I$2:$I$21,MATCH($A21,Tabell!$A$2:$A$21,0)),"")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1" customWidth="1" min="4" max="4"/>
    <col width="11" customWidth="1" min="5" max="5"/>
  </cols>
  <sheetData>
    <row r="1">
      <c r="A1" s="2" t="inlineStr">
        <is>
          <t>Date</t>
        </is>
      </c>
      <c r="B1" s="2" t="inlineStr">
        <is>
          <t>HomeTeam</t>
        </is>
      </c>
      <c r="C1" s="2" t="inlineStr">
        <is>
          <t>AwayTeam</t>
        </is>
      </c>
      <c r="D1" s="2" t="inlineStr">
        <is>
          <t>HomeGoals</t>
        </is>
      </c>
      <c r="E1" s="2" t="inlineStr">
        <is>
          <t>AwayGoals</t>
        </is>
      </c>
    </row>
    <row r="2">
      <c r="A2" t="inlineStr">
        <is>
          <t>15/08/2025</t>
        </is>
      </c>
      <c r="B2" t="inlineStr">
        <is>
          <t>Liverpool</t>
        </is>
      </c>
      <c r="C2" t="inlineStr">
        <is>
          <t>Bournemouth</t>
        </is>
      </c>
      <c r="D2" t="n">
        <v>4</v>
      </c>
      <c r="E2" t="n">
        <v>2</v>
      </c>
    </row>
    <row r="3">
      <c r="A3" t="inlineStr">
        <is>
          <t>16/08/2025</t>
        </is>
      </c>
      <c r="B3" t="inlineStr">
        <is>
          <t>Aston Villa</t>
        </is>
      </c>
      <c r="C3" t="inlineStr">
        <is>
          <t>Newcastle</t>
        </is>
      </c>
      <c r="D3" t="n">
        <v>0</v>
      </c>
      <c r="E3" t="n">
        <v>0</v>
      </c>
    </row>
    <row r="4">
      <c r="A4" t="inlineStr">
        <is>
          <t>16/08/2025</t>
        </is>
      </c>
      <c r="B4" t="inlineStr">
        <is>
          <t>Brighton</t>
        </is>
      </c>
      <c r="C4" t="inlineStr">
        <is>
          <t>Fulham</t>
        </is>
      </c>
      <c r="D4" t="n">
        <v>1</v>
      </c>
      <c r="E4" t="n">
        <v>1</v>
      </c>
    </row>
    <row r="5">
      <c r="A5" t="inlineStr">
        <is>
          <t>16/08/2025</t>
        </is>
      </c>
      <c r="B5" t="inlineStr">
        <is>
          <t>Sunderland</t>
        </is>
      </c>
      <c r="C5" t="inlineStr">
        <is>
          <t>West Ham</t>
        </is>
      </c>
      <c r="D5" t="n">
        <v>3</v>
      </c>
      <c r="E5" t="n">
        <v>0</v>
      </c>
    </row>
    <row r="6">
      <c r="A6" t="inlineStr">
        <is>
          <t>16/08/2025</t>
        </is>
      </c>
      <c r="B6" t="inlineStr">
        <is>
          <t>Tottenham</t>
        </is>
      </c>
      <c r="C6" t="inlineStr">
        <is>
          <t>Burnley</t>
        </is>
      </c>
      <c r="D6" t="n">
        <v>3</v>
      </c>
      <c r="E6" t="n">
        <v>0</v>
      </c>
    </row>
    <row r="7">
      <c r="A7" t="inlineStr">
        <is>
          <t>16/08/2025</t>
        </is>
      </c>
      <c r="B7" t="inlineStr">
        <is>
          <t>Wolves</t>
        </is>
      </c>
      <c r="C7" t="inlineStr">
        <is>
          <t>Man City</t>
        </is>
      </c>
      <c r="D7" t="n">
        <v>0</v>
      </c>
      <c r="E7" t="n">
        <v>4</v>
      </c>
    </row>
    <row r="8">
      <c r="A8" t="inlineStr">
        <is>
          <t>17/08/2025</t>
        </is>
      </c>
      <c r="B8" t="inlineStr">
        <is>
          <t>Chelsea</t>
        </is>
      </c>
      <c r="C8" t="inlineStr">
        <is>
          <t>Crystal Palace</t>
        </is>
      </c>
      <c r="D8" t="n">
        <v>0</v>
      </c>
      <c r="E8" t="n">
        <v>0</v>
      </c>
    </row>
    <row r="9">
      <c r="A9" t="inlineStr">
        <is>
          <t>17/08/2025</t>
        </is>
      </c>
      <c r="B9" t="inlineStr">
        <is>
          <t>Nott'm Forest</t>
        </is>
      </c>
      <c r="C9" t="inlineStr">
        <is>
          <t>Brentford</t>
        </is>
      </c>
      <c r="D9" t="n">
        <v>3</v>
      </c>
      <c r="E9" t="n">
        <v>1</v>
      </c>
    </row>
    <row r="10">
      <c r="A10" t="inlineStr">
        <is>
          <t>17/08/2025</t>
        </is>
      </c>
      <c r="B10" t="inlineStr">
        <is>
          <t>Man United</t>
        </is>
      </c>
      <c r="C10" t="inlineStr">
        <is>
          <t>Arsenal</t>
        </is>
      </c>
      <c r="D10" t="n">
        <v>0</v>
      </c>
      <c r="E10" t="n">
        <v>1</v>
      </c>
    </row>
    <row r="11">
      <c r="A11" t="inlineStr">
        <is>
          <t>18/08/2025</t>
        </is>
      </c>
      <c r="B11" t="inlineStr">
        <is>
          <t>Leeds</t>
        </is>
      </c>
      <c r="C11" t="inlineStr">
        <is>
          <t>Everton</t>
        </is>
      </c>
      <c r="D11" t="n">
        <v>1</v>
      </c>
      <c r="E11" t="n">
        <v>0</v>
      </c>
    </row>
    <row r="12">
      <c r="A12" t="inlineStr">
        <is>
          <t>22/08/2025</t>
        </is>
      </c>
      <c r="B12" t="inlineStr">
        <is>
          <t>West Ham</t>
        </is>
      </c>
      <c r="C12" t="inlineStr">
        <is>
          <t>Chelsea</t>
        </is>
      </c>
      <c r="D12" t="n">
        <v>1</v>
      </c>
      <c r="E12" t="n">
        <v>5</v>
      </c>
    </row>
    <row r="13">
      <c r="A13" t="inlineStr">
        <is>
          <t>23/08/2025</t>
        </is>
      </c>
      <c r="B13" t="inlineStr">
        <is>
          <t>Man City</t>
        </is>
      </c>
      <c r="C13" t="inlineStr">
        <is>
          <t>Tottenham</t>
        </is>
      </c>
      <c r="D13" t="n">
        <v>0</v>
      </c>
      <c r="E13" t="n">
        <v>2</v>
      </c>
    </row>
    <row r="14">
      <c r="A14" t="inlineStr">
        <is>
          <t>23/08/2025</t>
        </is>
      </c>
      <c r="B14" t="inlineStr">
        <is>
          <t>Bournemouth</t>
        </is>
      </c>
      <c r="C14" t="inlineStr">
        <is>
          <t>Wolves</t>
        </is>
      </c>
      <c r="D14" t="n">
        <v>1</v>
      </c>
      <c r="E14" t="n">
        <v>0</v>
      </c>
    </row>
    <row r="15">
      <c r="A15" t="inlineStr">
        <is>
          <t>23/08/2025</t>
        </is>
      </c>
      <c r="B15" t="inlineStr">
        <is>
          <t>Brentford</t>
        </is>
      </c>
      <c r="C15" t="inlineStr">
        <is>
          <t>Aston Villa</t>
        </is>
      </c>
      <c r="D15" t="n">
        <v>1</v>
      </c>
      <c r="E15" t="n">
        <v>0</v>
      </c>
    </row>
    <row r="16">
      <c r="A16" t="inlineStr">
        <is>
          <t>23/08/2025</t>
        </is>
      </c>
      <c r="B16" t="inlineStr">
        <is>
          <t>Burnley</t>
        </is>
      </c>
      <c r="C16" t="inlineStr">
        <is>
          <t>Sunderland</t>
        </is>
      </c>
      <c r="D16" t="n">
        <v>2</v>
      </c>
      <c r="E16" t="n">
        <v>0</v>
      </c>
    </row>
    <row r="17">
      <c r="A17" t="inlineStr">
        <is>
          <t>23/08/2025</t>
        </is>
      </c>
      <c r="B17" t="inlineStr">
        <is>
          <t>Arsenal</t>
        </is>
      </c>
      <c r="C17" t="inlineStr">
        <is>
          <t>Leeds</t>
        </is>
      </c>
      <c r="D17" t="n">
        <v>5</v>
      </c>
      <c r="E17" t="n">
        <v>0</v>
      </c>
    </row>
    <row r="18">
      <c r="A18" t="inlineStr">
        <is>
          <t>24/08/2025</t>
        </is>
      </c>
      <c r="B18" t="inlineStr">
        <is>
          <t>Crystal Palace</t>
        </is>
      </c>
      <c r="C18" t="inlineStr">
        <is>
          <t>Nott'm Forest</t>
        </is>
      </c>
      <c r="D18" t="n">
        <v>1</v>
      </c>
      <c r="E18" t="n">
        <v>1</v>
      </c>
    </row>
    <row r="19">
      <c r="A19" t="inlineStr">
        <is>
          <t>24/08/2025</t>
        </is>
      </c>
      <c r="B19" t="inlineStr">
        <is>
          <t>Everton</t>
        </is>
      </c>
      <c r="C19" t="inlineStr">
        <is>
          <t>Brighton</t>
        </is>
      </c>
      <c r="D19" t="n">
        <v>2</v>
      </c>
      <c r="E19" t="n">
        <v>0</v>
      </c>
    </row>
    <row r="20">
      <c r="A20" t="inlineStr">
        <is>
          <t>24/08/2025</t>
        </is>
      </c>
      <c r="B20" t="inlineStr">
        <is>
          <t>Fulham</t>
        </is>
      </c>
      <c r="C20" t="inlineStr">
        <is>
          <t>Man United</t>
        </is>
      </c>
      <c r="D20" t="n">
        <v>1</v>
      </c>
      <c r="E20" t="n">
        <v>1</v>
      </c>
    </row>
    <row r="21">
      <c r="A21" t="inlineStr">
        <is>
          <t>25/08/2025</t>
        </is>
      </c>
      <c r="B21" t="inlineStr">
        <is>
          <t>Newcastle</t>
        </is>
      </c>
      <c r="C21" t="inlineStr">
        <is>
          <t>Liverpool</t>
        </is>
      </c>
      <c r="D21" t="n">
        <v>2</v>
      </c>
      <c r="E21" t="n">
        <v>3</v>
      </c>
    </row>
    <row r="22">
      <c r="A22" t="inlineStr">
        <is>
          <t>30/08/2025</t>
        </is>
      </c>
      <c r="B22" t="inlineStr">
        <is>
          <t>Chelsea</t>
        </is>
      </c>
      <c r="C22" t="inlineStr">
        <is>
          <t>Fulham</t>
        </is>
      </c>
      <c r="D22" t="n">
        <v>2</v>
      </c>
      <c r="E22" t="n">
        <v>0</v>
      </c>
    </row>
    <row r="23">
      <c r="A23" t="inlineStr">
        <is>
          <t>30/08/2025</t>
        </is>
      </c>
      <c r="B23" t="inlineStr">
        <is>
          <t>Man United</t>
        </is>
      </c>
      <c r="C23" t="inlineStr">
        <is>
          <t>Burnley</t>
        </is>
      </c>
      <c r="D23" t="n">
        <v>3</v>
      </c>
      <c r="E23" t="n">
        <v>2</v>
      </c>
    </row>
    <row r="24">
      <c r="A24" t="inlineStr">
        <is>
          <t>30/08/2025</t>
        </is>
      </c>
      <c r="B24" t="inlineStr">
        <is>
          <t>Sunderland</t>
        </is>
      </c>
      <c r="C24" t="inlineStr">
        <is>
          <t>Brentford</t>
        </is>
      </c>
      <c r="D24" t="n">
        <v>2</v>
      </c>
      <c r="E24" t="n">
        <v>1</v>
      </c>
    </row>
    <row r="25">
      <c r="A25" t="inlineStr">
        <is>
          <t>30/08/2025</t>
        </is>
      </c>
      <c r="B25" t="inlineStr">
        <is>
          <t>Tottenham</t>
        </is>
      </c>
      <c r="C25" t="inlineStr">
        <is>
          <t>Bournemouth</t>
        </is>
      </c>
      <c r="D25" t="n">
        <v>0</v>
      </c>
      <c r="E25" t="n">
        <v>1</v>
      </c>
    </row>
    <row r="26">
      <c r="A26" t="inlineStr">
        <is>
          <t>30/08/2025</t>
        </is>
      </c>
      <c r="B26" t="inlineStr">
        <is>
          <t>Wolves</t>
        </is>
      </c>
      <c r="C26" t="inlineStr">
        <is>
          <t>Everton</t>
        </is>
      </c>
      <c r="D26" t="n">
        <v>2</v>
      </c>
      <c r="E26" t="n">
        <v>3</v>
      </c>
    </row>
    <row r="27">
      <c r="A27" t="inlineStr">
        <is>
          <t>30/08/2025</t>
        </is>
      </c>
      <c r="B27" t="inlineStr">
        <is>
          <t>Leeds</t>
        </is>
      </c>
      <c r="C27" t="inlineStr">
        <is>
          <t>Newcastle</t>
        </is>
      </c>
      <c r="D27" t="n">
        <v>0</v>
      </c>
      <c r="E27" t="n">
        <v>0</v>
      </c>
    </row>
    <row r="28">
      <c r="A28" t="inlineStr">
        <is>
          <t>31/08/2025</t>
        </is>
      </c>
      <c r="B28" t="inlineStr">
        <is>
          <t>Brighton</t>
        </is>
      </c>
      <c r="C28" t="inlineStr">
        <is>
          <t>Man City</t>
        </is>
      </c>
      <c r="D28" t="n">
        <v>2</v>
      </c>
      <c r="E28" t="n">
        <v>1</v>
      </c>
    </row>
    <row r="29">
      <c r="A29" t="inlineStr">
        <is>
          <t>31/08/2025</t>
        </is>
      </c>
      <c r="B29" t="inlineStr">
        <is>
          <t>Nott'm Forest</t>
        </is>
      </c>
      <c r="C29" t="inlineStr">
        <is>
          <t>West Ham</t>
        </is>
      </c>
      <c r="D29" t="n">
        <v>0</v>
      </c>
      <c r="E29" t="n">
        <v>3</v>
      </c>
    </row>
    <row r="30">
      <c r="A30" t="inlineStr">
        <is>
          <t>31/08/2025</t>
        </is>
      </c>
      <c r="B30" t="inlineStr">
        <is>
          <t>Liverpool</t>
        </is>
      </c>
      <c r="C30" t="inlineStr">
        <is>
          <t>Arsenal</t>
        </is>
      </c>
      <c r="D30" t="n">
        <v>1</v>
      </c>
      <c r="E30" t="n">
        <v>0</v>
      </c>
    </row>
    <row r="31">
      <c r="A31" t="inlineStr">
        <is>
          <t>31/08/2025</t>
        </is>
      </c>
      <c r="B31" t="inlineStr">
        <is>
          <t>Aston Villa</t>
        </is>
      </c>
      <c r="C31" t="inlineStr">
        <is>
          <t>Crystal Palace</t>
        </is>
      </c>
      <c r="D31" t="n">
        <v>0</v>
      </c>
      <c r="E31" t="n">
        <v>3</v>
      </c>
    </row>
    <row r="32">
      <c r="A32" t="inlineStr">
        <is>
          <t>13/09/2025</t>
        </is>
      </c>
      <c r="B32" t="inlineStr">
        <is>
          <t>Arsenal</t>
        </is>
      </c>
      <c r="C32" t="inlineStr">
        <is>
          <t>Nott'm Forest</t>
        </is>
      </c>
      <c r="D32" t="n">
        <v>3</v>
      </c>
      <c r="E32" t="n">
        <v>0</v>
      </c>
    </row>
    <row r="33">
      <c r="A33" t="inlineStr">
        <is>
          <t>13/09/2025</t>
        </is>
      </c>
      <c r="B33" t="inlineStr">
        <is>
          <t>Bournemouth</t>
        </is>
      </c>
      <c r="C33" t="inlineStr">
        <is>
          <t>Brighton</t>
        </is>
      </c>
      <c r="D33" t="n">
        <v>2</v>
      </c>
      <c r="E33" t="n">
        <v>1</v>
      </c>
    </row>
    <row r="34">
      <c r="A34" t="inlineStr">
        <is>
          <t>13/09/2025</t>
        </is>
      </c>
      <c r="B34" t="inlineStr">
        <is>
          <t>Crystal Palace</t>
        </is>
      </c>
      <c r="C34" t="inlineStr">
        <is>
          <t>Sunderland</t>
        </is>
      </c>
      <c r="D34" t="n">
        <v>0</v>
      </c>
      <c r="E34" t="n">
        <v>0</v>
      </c>
    </row>
    <row r="35">
      <c r="A35" t="inlineStr">
        <is>
          <t>13/09/2025</t>
        </is>
      </c>
      <c r="B35" t="inlineStr">
        <is>
          <t>Everton</t>
        </is>
      </c>
      <c r="C35" t="inlineStr">
        <is>
          <t>Aston Villa</t>
        </is>
      </c>
      <c r="D35" t="n">
        <v>0</v>
      </c>
      <c r="E35" t="n">
        <v>0</v>
      </c>
    </row>
    <row r="36">
      <c r="A36" t="inlineStr">
        <is>
          <t>13/09/2025</t>
        </is>
      </c>
      <c r="B36" t="inlineStr">
        <is>
          <t>Fulham</t>
        </is>
      </c>
      <c r="C36" t="inlineStr">
        <is>
          <t>Leeds</t>
        </is>
      </c>
      <c r="D36" t="n">
        <v>1</v>
      </c>
      <c r="E36" t="n">
        <v>0</v>
      </c>
    </row>
    <row r="37">
      <c r="A37" t="inlineStr">
        <is>
          <t>13/09/2025</t>
        </is>
      </c>
      <c r="B37" t="inlineStr">
        <is>
          <t>Newcastle</t>
        </is>
      </c>
      <c r="C37" t="inlineStr">
        <is>
          <t>Wolves</t>
        </is>
      </c>
      <c r="D37" t="n">
        <v>1</v>
      </c>
      <c r="E37" t="n">
        <v>0</v>
      </c>
    </row>
    <row r="38">
      <c r="A38" t="inlineStr">
        <is>
          <t>13/09/2025</t>
        </is>
      </c>
      <c r="B38" t="inlineStr">
        <is>
          <t>West Ham</t>
        </is>
      </c>
      <c r="C38" t="inlineStr">
        <is>
          <t>Tottenham</t>
        </is>
      </c>
      <c r="D38" t="n">
        <v>0</v>
      </c>
      <c r="E38" t="n">
        <v>3</v>
      </c>
    </row>
    <row r="39">
      <c r="A39" t="inlineStr">
        <is>
          <t>13/09/2025</t>
        </is>
      </c>
      <c r="B39" t="inlineStr">
        <is>
          <t>Brentford</t>
        </is>
      </c>
      <c r="C39" t="inlineStr">
        <is>
          <t>Chelsea</t>
        </is>
      </c>
      <c r="D39" t="n">
        <v>2</v>
      </c>
      <c r="E39" t="n">
        <v>2</v>
      </c>
    </row>
    <row r="40">
      <c r="A40" t="inlineStr">
        <is>
          <t>14/09/2025</t>
        </is>
      </c>
      <c r="B40" t="inlineStr">
        <is>
          <t>Burnley</t>
        </is>
      </c>
      <c r="C40" t="inlineStr">
        <is>
          <t>Liverpool</t>
        </is>
      </c>
      <c r="D40" t="n">
        <v>0</v>
      </c>
      <c r="E40" t="n">
        <v>1</v>
      </c>
    </row>
    <row r="41">
      <c r="A41" t="inlineStr">
        <is>
          <t>14/09/2025</t>
        </is>
      </c>
      <c r="B41" t="inlineStr">
        <is>
          <t>Man City</t>
        </is>
      </c>
      <c r="C41" t="inlineStr">
        <is>
          <t>Man United</t>
        </is>
      </c>
      <c r="D41" t="n">
        <v>3</v>
      </c>
      <c r="E41" t="n">
        <v>0</v>
      </c>
    </row>
    <row r="42">
      <c r="A42" t="inlineStr">
        <is>
          <t>20/09/2025</t>
        </is>
      </c>
      <c r="B42" t="inlineStr">
        <is>
          <t>Liverpool</t>
        </is>
      </c>
      <c r="C42" t="inlineStr">
        <is>
          <t>Everton</t>
        </is>
      </c>
      <c r="D42" t="n">
        <v>2</v>
      </c>
      <c r="E42" t="n">
        <v>1</v>
      </c>
    </row>
    <row r="43">
      <c r="A43" t="inlineStr">
        <is>
          <t>20/09/2025</t>
        </is>
      </c>
      <c r="B43" t="inlineStr">
        <is>
          <t>Brighton</t>
        </is>
      </c>
      <c r="C43" t="inlineStr">
        <is>
          <t>Tottenham</t>
        </is>
      </c>
      <c r="D43" t="n">
        <v>2</v>
      </c>
      <c r="E43" t="n">
        <v>2</v>
      </c>
    </row>
    <row r="44">
      <c r="A44" t="inlineStr">
        <is>
          <t>20/09/2025</t>
        </is>
      </c>
      <c r="B44" t="inlineStr">
        <is>
          <t>Burnley</t>
        </is>
      </c>
      <c r="C44" t="inlineStr">
        <is>
          <t>Nott'm Forest</t>
        </is>
      </c>
      <c r="D44" t="n">
        <v>1</v>
      </c>
      <c r="E44" t="n">
        <v>1</v>
      </c>
    </row>
    <row r="45">
      <c r="A45" t="inlineStr">
        <is>
          <t>20/09/2025</t>
        </is>
      </c>
      <c r="B45" t="inlineStr">
        <is>
          <t>West Ham</t>
        </is>
      </c>
      <c r="C45" t="inlineStr">
        <is>
          <t>Crystal Palace</t>
        </is>
      </c>
      <c r="D45" t="n">
        <v>1</v>
      </c>
      <c r="E45" t="n">
        <v>2</v>
      </c>
    </row>
    <row r="46">
      <c r="A46" t="inlineStr">
        <is>
          <t>20/09/2025</t>
        </is>
      </c>
      <c r="B46" t="inlineStr">
        <is>
          <t>Wolves</t>
        </is>
      </c>
      <c r="C46" t="inlineStr">
        <is>
          <t>Leeds</t>
        </is>
      </c>
      <c r="D46" t="n">
        <v>1</v>
      </c>
      <c r="E46" t="n">
        <v>3</v>
      </c>
    </row>
    <row r="47">
      <c r="A47" t="inlineStr">
        <is>
          <t>20/09/2025</t>
        </is>
      </c>
      <c r="B47" t="inlineStr">
        <is>
          <t>Man United</t>
        </is>
      </c>
      <c r="C47" t="inlineStr">
        <is>
          <t>Chelsea</t>
        </is>
      </c>
      <c r="D47" t="n">
        <v>2</v>
      </c>
      <c r="E47" t="n">
        <v>1</v>
      </c>
    </row>
    <row r="48">
      <c r="A48" t="inlineStr">
        <is>
          <t>20/09/2025</t>
        </is>
      </c>
      <c r="B48" t="inlineStr">
        <is>
          <t>Fulham</t>
        </is>
      </c>
      <c r="C48" t="inlineStr">
        <is>
          <t>Brentford</t>
        </is>
      </c>
      <c r="D48" t="n">
        <v>3</v>
      </c>
      <c r="E48" t="n">
        <v>1</v>
      </c>
    </row>
    <row r="49">
      <c r="A49" t="inlineStr">
        <is>
          <t>21/09/2025</t>
        </is>
      </c>
      <c r="B49" t="inlineStr">
        <is>
          <t>Bournemouth</t>
        </is>
      </c>
      <c r="C49" t="inlineStr">
        <is>
          <t>Newcastle</t>
        </is>
      </c>
      <c r="D49" t="n">
        <v>0</v>
      </c>
      <c r="E49" t="n">
        <v>0</v>
      </c>
    </row>
    <row r="50">
      <c r="A50" t="inlineStr">
        <is>
          <t>21/09/2025</t>
        </is>
      </c>
      <c r="B50" t="inlineStr">
        <is>
          <t>Sunderland</t>
        </is>
      </c>
      <c r="C50" t="inlineStr">
        <is>
          <t>Aston Villa</t>
        </is>
      </c>
      <c r="D50" t="n">
        <v>1</v>
      </c>
      <c r="E50" t="n">
        <v>1</v>
      </c>
    </row>
    <row r="51">
      <c r="A51" t="inlineStr">
        <is>
          <t>21/09/2025</t>
        </is>
      </c>
      <c r="B51" t="inlineStr">
        <is>
          <t>Arsenal</t>
        </is>
      </c>
      <c r="C51" t="inlineStr">
        <is>
          <t>Man City</t>
        </is>
      </c>
      <c r="D51" t="n">
        <v>1</v>
      </c>
      <c r="E51" t="n">
        <v>1</v>
      </c>
    </row>
    <row r="52">
      <c r="A52" t="inlineStr">
        <is>
          <t>27/09/2025</t>
        </is>
      </c>
      <c r="B52" t="inlineStr">
        <is>
          <t>Brentford</t>
        </is>
      </c>
      <c r="C52" t="inlineStr">
        <is>
          <t>Man United</t>
        </is>
      </c>
      <c r="D52" t="n">
        <v>3</v>
      </c>
      <c r="E52" t="n">
        <v>1</v>
      </c>
    </row>
    <row r="53">
      <c r="A53" t="inlineStr">
        <is>
          <t>27/09/2025</t>
        </is>
      </c>
      <c r="B53" t="inlineStr">
        <is>
          <t>Chelsea</t>
        </is>
      </c>
      <c r="C53" t="inlineStr">
        <is>
          <t>Brighton</t>
        </is>
      </c>
      <c r="D53" t="n">
        <v>1</v>
      </c>
      <c r="E53" t="n">
        <v>3</v>
      </c>
    </row>
    <row r="54">
      <c r="A54" t="inlineStr">
        <is>
          <t>27/09/2025</t>
        </is>
      </c>
      <c r="B54" t="inlineStr">
        <is>
          <t>Crystal Palace</t>
        </is>
      </c>
      <c r="C54" t="inlineStr">
        <is>
          <t>Liverpool</t>
        </is>
      </c>
      <c r="D54" t="n">
        <v>2</v>
      </c>
      <c r="E54" t="n">
        <v>1</v>
      </c>
    </row>
    <row r="55">
      <c r="A55" t="inlineStr">
        <is>
          <t>27/09/2025</t>
        </is>
      </c>
      <c r="B55" t="inlineStr">
        <is>
          <t>Leeds</t>
        </is>
      </c>
      <c r="C55" t="inlineStr">
        <is>
          <t>Bournemouth</t>
        </is>
      </c>
      <c r="D55" t="n">
        <v>2</v>
      </c>
      <c r="E55" t="n">
        <v>2</v>
      </c>
    </row>
    <row r="56">
      <c r="A56" t="inlineStr">
        <is>
          <t>27/09/2025</t>
        </is>
      </c>
      <c r="B56" t="inlineStr">
        <is>
          <t>Man City</t>
        </is>
      </c>
      <c r="C56" t="inlineStr">
        <is>
          <t>Burnley</t>
        </is>
      </c>
      <c r="D56" t="n">
        <v>5</v>
      </c>
      <c r="E56" t="n">
        <v>1</v>
      </c>
    </row>
    <row r="57">
      <c r="A57" t="inlineStr">
        <is>
          <t>27/09/2025</t>
        </is>
      </c>
      <c r="B57" t="inlineStr">
        <is>
          <t>Nott'm Forest</t>
        </is>
      </c>
      <c r="C57" t="inlineStr">
        <is>
          <t>Sunderland</t>
        </is>
      </c>
      <c r="D57" t="n">
        <v>0</v>
      </c>
      <c r="E57" t="n">
        <v>1</v>
      </c>
    </row>
    <row r="58">
      <c r="A58" t="inlineStr">
        <is>
          <t>27/09/2025</t>
        </is>
      </c>
      <c r="B58" t="inlineStr">
        <is>
          <t>Tottenham</t>
        </is>
      </c>
      <c r="C58" t="inlineStr">
        <is>
          <t>Wolves</t>
        </is>
      </c>
      <c r="D58" t="n">
        <v>1</v>
      </c>
      <c r="E58" t="n">
        <v>1</v>
      </c>
    </row>
    <row r="59">
      <c r="A59" t="inlineStr">
        <is>
          <t>28/09/2025</t>
        </is>
      </c>
      <c r="B59" t="inlineStr">
        <is>
          <t>Aston Villa</t>
        </is>
      </c>
      <c r="C59" t="inlineStr">
        <is>
          <t>Fulham</t>
        </is>
      </c>
      <c r="D59" t="n">
        <v>3</v>
      </c>
      <c r="E59" t="n">
        <v>1</v>
      </c>
    </row>
    <row r="60">
      <c r="A60" t="inlineStr">
        <is>
          <t>28/09/2025</t>
        </is>
      </c>
      <c r="B60" t="inlineStr">
        <is>
          <t>Newcastle</t>
        </is>
      </c>
      <c r="C60" t="inlineStr">
        <is>
          <t>Arsenal</t>
        </is>
      </c>
      <c r="D60" t="n">
        <v>1</v>
      </c>
      <c r="E60" t="n">
        <v>2</v>
      </c>
    </row>
    <row r="61">
      <c r="A61" t="inlineStr">
        <is>
          <t>29/09/2025</t>
        </is>
      </c>
      <c r="B61" t="inlineStr">
        <is>
          <t>Everton</t>
        </is>
      </c>
      <c r="C61" t="inlineStr">
        <is>
          <t>West Ham</t>
        </is>
      </c>
      <c r="D61" t="n">
        <v>1</v>
      </c>
      <c r="E61" t="n">
        <v>1</v>
      </c>
    </row>
    <row r="62">
      <c r="A62" t="inlineStr">
        <is>
          <t>03/10/2025</t>
        </is>
      </c>
      <c r="B62" t="inlineStr">
        <is>
          <t>Bournemouth</t>
        </is>
      </c>
      <c r="C62" t="inlineStr">
        <is>
          <t>Fulham</t>
        </is>
      </c>
      <c r="D62" t="n">
        <v>3</v>
      </c>
      <c r="E62" t="n">
        <v>1</v>
      </c>
    </row>
    <row r="63">
      <c r="A63" t="inlineStr">
        <is>
          <t>04/10/2025</t>
        </is>
      </c>
      <c r="B63" t="inlineStr">
        <is>
          <t>Leeds</t>
        </is>
      </c>
      <c r="C63" t="inlineStr">
        <is>
          <t>Tottenham</t>
        </is>
      </c>
      <c r="D63" t="n">
        <v>1</v>
      </c>
      <c r="E63" t="n">
        <v>2</v>
      </c>
    </row>
    <row r="64">
      <c r="A64" t="inlineStr">
        <is>
          <t>04/10/2025</t>
        </is>
      </c>
      <c r="B64" t="inlineStr">
        <is>
          <t>Arsenal</t>
        </is>
      </c>
      <c r="C64" t="inlineStr">
        <is>
          <t>West Ham</t>
        </is>
      </c>
      <c r="D64" t="n">
        <v>2</v>
      </c>
      <c r="E64" t="n">
        <v>0</v>
      </c>
    </row>
    <row r="65">
      <c r="A65" t="inlineStr">
        <is>
          <t>04/10/2025</t>
        </is>
      </c>
      <c r="B65" t="inlineStr">
        <is>
          <t>Man United</t>
        </is>
      </c>
      <c r="C65" t="inlineStr">
        <is>
          <t>Sunderland</t>
        </is>
      </c>
      <c r="D65" t="n">
        <v>2</v>
      </c>
      <c r="E65" t="n">
        <v>0</v>
      </c>
    </row>
    <row r="66">
      <c r="A66" t="inlineStr">
        <is>
          <t>04/10/2025</t>
        </is>
      </c>
      <c r="B66" t="inlineStr">
        <is>
          <t>Chelsea</t>
        </is>
      </c>
      <c r="C66" t="inlineStr">
        <is>
          <t>Liverpool</t>
        </is>
      </c>
      <c r="D66" t="n">
        <v>2</v>
      </c>
      <c r="E66" t="n">
        <v>1</v>
      </c>
    </row>
    <row r="67">
      <c r="A67" t="inlineStr">
        <is>
          <t>05/10/2025</t>
        </is>
      </c>
      <c r="B67" t="inlineStr">
        <is>
          <t>Aston Villa</t>
        </is>
      </c>
      <c r="C67" t="inlineStr">
        <is>
          <t>Burnley</t>
        </is>
      </c>
      <c r="D67" t="n">
        <v>2</v>
      </c>
      <c r="E67" t="n">
        <v>1</v>
      </c>
    </row>
    <row r="68">
      <c r="A68" t="inlineStr">
        <is>
          <t>05/10/2025</t>
        </is>
      </c>
      <c r="B68" t="inlineStr">
        <is>
          <t>Everton</t>
        </is>
      </c>
      <c r="C68" t="inlineStr">
        <is>
          <t>Crystal Palace</t>
        </is>
      </c>
      <c r="D68" t="n">
        <v>2</v>
      </c>
      <c r="E68" t="n">
        <v>1</v>
      </c>
    </row>
    <row r="69">
      <c r="A69" t="inlineStr">
        <is>
          <t>05/10/2025</t>
        </is>
      </c>
      <c r="B69" t="inlineStr">
        <is>
          <t>Newcastle</t>
        </is>
      </c>
      <c r="C69" t="inlineStr">
        <is>
          <t>Nott'm Forest</t>
        </is>
      </c>
      <c r="D69" t="n">
        <v>2</v>
      </c>
      <c r="E69" t="n">
        <v>0</v>
      </c>
    </row>
    <row r="70">
      <c r="A70" t="inlineStr">
        <is>
          <t>05/10/2025</t>
        </is>
      </c>
      <c r="B70" t="inlineStr">
        <is>
          <t>Wolves</t>
        </is>
      </c>
      <c r="C70" t="inlineStr">
        <is>
          <t>Brighton</t>
        </is>
      </c>
      <c r="D70" t="n">
        <v>1</v>
      </c>
      <c r="E70" t="n">
        <v>1</v>
      </c>
    </row>
    <row r="71">
      <c r="A71" t="inlineStr">
        <is>
          <t>05/10/2025</t>
        </is>
      </c>
      <c r="B71" t="inlineStr">
        <is>
          <t>Brentford</t>
        </is>
      </c>
      <c r="C71" t="inlineStr">
        <is>
          <t>Man City</t>
        </is>
      </c>
      <c r="D71" t="n">
        <v>0</v>
      </c>
      <c r="E71" t="n">
        <v>1</v>
      </c>
    </row>
    <row r="72">
      <c r="A72" t="inlineStr">
        <is>
          <t>18/10/2025</t>
        </is>
      </c>
      <c r="B72" t="inlineStr">
        <is>
          <t>Nott'm Forest</t>
        </is>
      </c>
      <c r="C72" t="inlineStr">
        <is>
          <t>Chelsea</t>
        </is>
      </c>
      <c r="D72" t="n">
        <v>0</v>
      </c>
      <c r="E72" t="n">
        <v>3</v>
      </c>
    </row>
    <row r="73">
      <c r="A73" t="inlineStr">
        <is>
          <t>18/10/2025</t>
        </is>
      </c>
      <c r="B73" t="inlineStr">
        <is>
          <t>Brighton</t>
        </is>
      </c>
      <c r="C73" t="inlineStr">
        <is>
          <t>Newcastle</t>
        </is>
      </c>
      <c r="D73" t="n">
        <v>2</v>
      </c>
      <c r="E73" t="n">
        <v>1</v>
      </c>
    </row>
    <row r="74">
      <c r="A74" t="inlineStr">
        <is>
          <t>18/10/2025</t>
        </is>
      </c>
      <c r="B74" t="inlineStr">
        <is>
          <t>Burnley</t>
        </is>
      </c>
      <c r="C74" t="inlineStr">
        <is>
          <t>Leeds</t>
        </is>
      </c>
      <c r="D74" t="n">
        <v>2</v>
      </c>
      <c r="E74" t="n">
        <v>0</v>
      </c>
    </row>
    <row r="75">
      <c r="A75" t="inlineStr">
        <is>
          <t>18/10/2025</t>
        </is>
      </c>
      <c r="B75" t="inlineStr">
        <is>
          <t>Crystal Palace</t>
        </is>
      </c>
      <c r="C75" t="inlineStr">
        <is>
          <t>Bournemouth</t>
        </is>
      </c>
      <c r="D75" t="n">
        <v>3</v>
      </c>
      <c r="E75" t="n">
        <v>3</v>
      </c>
    </row>
    <row r="76">
      <c r="A76" t="inlineStr">
        <is>
          <t>18/10/2025</t>
        </is>
      </c>
      <c r="B76" t="inlineStr">
        <is>
          <t>Man City</t>
        </is>
      </c>
      <c r="C76" t="inlineStr">
        <is>
          <t>Everton</t>
        </is>
      </c>
      <c r="D76" t="n">
        <v>2</v>
      </c>
      <c r="E76" t="n">
        <v>0</v>
      </c>
    </row>
    <row r="77">
      <c r="A77" t="inlineStr">
        <is>
          <t>18/10/2025</t>
        </is>
      </c>
      <c r="B77" t="inlineStr">
        <is>
          <t>Sunderland</t>
        </is>
      </c>
      <c r="C77" t="inlineStr">
        <is>
          <t>Wolves</t>
        </is>
      </c>
      <c r="D77" t="n">
        <v>2</v>
      </c>
      <c r="E77" t="n">
        <v>0</v>
      </c>
    </row>
    <row r="78">
      <c r="A78" t="inlineStr">
        <is>
          <t>18/10/2025</t>
        </is>
      </c>
      <c r="B78" t="inlineStr">
        <is>
          <t>Fulham</t>
        </is>
      </c>
      <c r="C78" t="inlineStr">
        <is>
          <t>Arsenal</t>
        </is>
      </c>
      <c r="D78" t="n">
        <v>0</v>
      </c>
      <c r="E78" t="n">
        <v>1</v>
      </c>
    </row>
    <row r="79">
      <c r="A79" t="inlineStr">
        <is>
          <t>19/10/2025</t>
        </is>
      </c>
      <c r="B79" t="inlineStr">
        <is>
          <t>Tottenham</t>
        </is>
      </c>
      <c r="C79" t="inlineStr">
        <is>
          <t>Aston Villa</t>
        </is>
      </c>
      <c r="D79" t="n">
        <v>1</v>
      </c>
      <c r="E79" t="n">
        <v>2</v>
      </c>
    </row>
    <row r="80">
      <c r="A80" t="inlineStr">
        <is>
          <t>19/10/2025</t>
        </is>
      </c>
      <c r="B80" t="inlineStr">
        <is>
          <t>Liverpool</t>
        </is>
      </c>
      <c r="C80" t="inlineStr">
        <is>
          <t>Man United</t>
        </is>
      </c>
      <c r="D80" t="n">
        <v>1</v>
      </c>
      <c r="E80" t="n">
        <v>2</v>
      </c>
    </row>
    <row r="81">
      <c r="A81" t="inlineStr">
        <is>
          <t>20/10/2025</t>
        </is>
      </c>
      <c r="B81" t="inlineStr">
        <is>
          <t>West Ham</t>
        </is>
      </c>
      <c r="C81" t="inlineStr">
        <is>
          <t>Brentford</t>
        </is>
      </c>
      <c r="D81" t="n">
        <v>0</v>
      </c>
      <c r="E81" t="n">
        <v>2</v>
      </c>
    </row>
    <row r="82">
      <c r="A82" t="inlineStr">
        <is>
          <t>24/10/2025</t>
        </is>
      </c>
      <c r="B82" t="inlineStr">
        <is>
          <t>Leeds</t>
        </is>
      </c>
      <c r="C82" t="inlineStr">
        <is>
          <t>West Ham</t>
        </is>
      </c>
      <c r="D82" t="n">
        <v>2</v>
      </c>
      <c r="E82" t="n">
        <v>1</v>
      </c>
    </row>
    <row r="83">
      <c r="A83" t="inlineStr">
        <is>
          <t>25/10/2025</t>
        </is>
      </c>
      <c r="B83" t="inlineStr">
        <is>
          <t>Chelsea</t>
        </is>
      </c>
      <c r="C83" t="inlineStr">
        <is>
          <t>Sunderland</t>
        </is>
      </c>
      <c r="D83" t="n">
        <v>1</v>
      </c>
      <c r="E83" t="n">
        <v>2</v>
      </c>
    </row>
    <row r="84">
      <c r="A84" t="inlineStr">
        <is>
          <t>25/10/2025</t>
        </is>
      </c>
      <c r="B84" t="inlineStr">
        <is>
          <t>Newcastle</t>
        </is>
      </c>
      <c r="C84" t="inlineStr">
        <is>
          <t>Fulham</t>
        </is>
      </c>
      <c r="D84" t="n">
        <v>2</v>
      </c>
      <c r="E84" t="n">
        <v>1</v>
      </c>
    </row>
    <row r="85">
      <c r="A85" t="inlineStr">
        <is>
          <t>25/10/2025</t>
        </is>
      </c>
      <c r="B85" t="inlineStr">
        <is>
          <t>Man United</t>
        </is>
      </c>
      <c r="C85" t="inlineStr">
        <is>
          <t>Brighton</t>
        </is>
      </c>
      <c r="D85" t="n">
        <v>4</v>
      </c>
      <c r="E85" t="n">
        <v>2</v>
      </c>
    </row>
    <row r="86">
      <c r="A86" t="inlineStr">
        <is>
          <t>25/10/2025</t>
        </is>
      </c>
      <c r="B86" t="inlineStr">
        <is>
          <t>Brentford</t>
        </is>
      </c>
      <c r="C86" t="inlineStr">
        <is>
          <t>Liverpool</t>
        </is>
      </c>
      <c r="D86" t="n">
        <v>3</v>
      </c>
      <c r="E86" t="n">
        <v>2</v>
      </c>
    </row>
    <row r="87">
      <c r="A87" t="inlineStr">
        <is>
          <t>26/10/2025</t>
        </is>
      </c>
      <c r="B87" t="inlineStr">
        <is>
          <t>Arsenal</t>
        </is>
      </c>
      <c r="C87" t="inlineStr">
        <is>
          <t>Crystal Palace</t>
        </is>
      </c>
      <c r="D87" t="n">
        <v>1</v>
      </c>
      <c r="E87" t="n">
        <v>0</v>
      </c>
    </row>
    <row r="88">
      <c r="A88" t="inlineStr">
        <is>
          <t>26/10/2025</t>
        </is>
      </c>
      <c r="B88" t="inlineStr">
        <is>
          <t>Aston Villa</t>
        </is>
      </c>
      <c r="C88" t="inlineStr">
        <is>
          <t>Man City</t>
        </is>
      </c>
      <c r="D88" t="n">
        <v>1</v>
      </c>
      <c r="E88" t="n">
        <v>0</v>
      </c>
    </row>
    <row r="89">
      <c r="A89" t="inlineStr">
        <is>
          <t>26/10/2025</t>
        </is>
      </c>
      <c r="B89" t="inlineStr">
        <is>
          <t>Bournemouth</t>
        </is>
      </c>
      <c r="C89" t="inlineStr">
        <is>
          <t>Nott'm Forest</t>
        </is>
      </c>
      <c r="D89" t="n">
        <v>2</v>
      </c>
      <c r="E89" t="n">
        <v>0</v>
      </c>
    </row>
    <row r="90">
      <c r="A90" t="inlineStr">
        <is>
          <t>26/10/2025</t>
        </is>
      </c>
      <c r="B90" t="inlineStr">
        <is>
          <t>Wolves</t>
        </is>
      </c>
      <c r="C90" t="inlineStr">
        <is>
          <t>Burnley</t>
        </is>
      </c>
      <c r="D90" t="n">
        <v>2</v>
      </c>
      <c r="E90" t="n">
        <v>3</v>
      </c>
    </row>
    <row r="91">
      <c r="A91" t="inlineStr">
        <is>
          <t>26/10/2025</t>
        </is>
      </c>
      <c r="B91" t="inlineStr">
        <is>
          <t>Everton</t>
        </is>
      </c>
      <c r="C91" t="inlineStr">
        <is>
          <t>Tottenham</t>
        </is>
      </c>
      <c r="D91" t="n">
        <v>0</v>
      </c>
      <c r="E91" t="n">
        <v>3</v>
      </c>
    </row>
    <row r="92">
      <c r="A92" t="inlineStr">
        <is>
          <t>01/11/2025</t>
        </is>
      </c>
      <c r="B92" t="inlineStr">
        <is>
          <t>Brighton</t>
        </is>
      </c>
      <c r="C92" t="inlineStr">
        <is>
          <t>Leeds</t>
        </is>
      </c>
      <c r="D92" t="n">
        <v>3</v>
      </c>
      <c r="E92" t="n">
        <v>0</v>
      </c>
    </row>
    <row r="93">
      <c r="A93" t="inlineStr">
        <is>
          <t>01/11/2025</t>
        </is>
      </c>
      <c r="B93" t="inlineStr">
        <is>
          <t>Burnley</t>
        </is>
      </c>
      <c r="C93" t="inlineStr">
        <is>
          <t>Arsenal</t>
        </is>
      </c>
      <c r="D93" t="n">
        <v>0</v>
      </c>
      <c r="E93" t="n">
        <v>2</v>
      </c>
    </row>
    <row r="94">
      <c r="A94" t="inlineStr">
        <is>
          <t>01/11/2025</t>
        </is>
      </c>
      <c r="B94" t="inlineStr">
        <is>
          <t>Crystal Palace</t>
        </is>
      </c>
      <c r="C94" t="inlineStr">
        <is>
          <t>Brentford</t>
        </is>
      </c>
      <c r="D94" t="n">
        <v>2</v>
      </c>
      <c r="E94" t="n">
        <v>0</v>
      </c>
    </row>
    <row r="95">
      <c r="A95" t="inlineStr">
        <is>
          <t>01/11/2025</t>
        </is>
      </c>
      <c r="B95" t="inlineStr">
        <is>
          <t>Fulham</t>
        </is>
      </c>
      <c r="C95" t="inlineStr">
        <is>
          <t>Wolves</t>
        </is>
      </c>
      <c r="D95" t="n">
        <v>3</v>
      </c>
      <c r="E95" t="n">
        <v>0</v>
      </c>
    </row>
    <row r="96">
      <c r="A96" t="inlineStr">
        <is>
          <t>01/11/2025</t>
        </is>
      </c>
      <c r="B96" t="inlineStr">
        <is>
          <t>Nott'm Forest</t>
        </is>
      </c>
      <c r="C96" t="inlineStr">
        <is>
          <t>Man United</t>
        </is>
      </c>
      <c r="D96" t="n">
        <v>2</v>
      </c>
      <c r="E96" t="n">
        <v>2</v>
      </c>
    </row>
    <row r="97">
      <c r="A97" t="inlineStr">
        <is>
          <t>01/11/2025</t>
        </is>
      </c>
      <c r="B97" t="inlineStr">
        <is>
          <t>Tottenham</t>
        </is>
      </c>
      <c r="C97" t="inlineStr">
        <is>
          <t>Chelsea</t>
        </is>
      </c>
      <c r="D97" t="n">
        <v>0</v>
      </c>
      <c r="E97" t="n">
        <v>1</v>
      </c>
    </row>
    <row r="98">
      <c r="A98" t="inlineStr">
        <is>
          <t>01/11/2025</t>
        </is>
      </c>
      <c r="B98" t="inlineStr">
        <is>
          <t>Liverpool</t>
        </is>
      </c>
      <c r="C98" t="inlineStr">
        <is>
          <t>Aston Villa</t>
        </is>
      </c>
      <c r="D98" t="n">
        <v>2</v>
      </c>
      <c r="E98" t="n">
        <v>0</v>
      </c>
    </row>
    <row r="99">
      <c r="A99" t="inlineStr">
        <is>
          <t>02/11/2025</t>
        </is>
      </c>
      <c r="B99" t="inlineStr">
        <is>
          <t>West Ham</t>
        </is>
      </c>
      <c r="C99" t="inlineStr">
        <is>
          <t>Newcastle</t>
        </is>
      </c>
      <c r="D99" t="n">
        <v>3</v>
      </c>
      <c r="E99" t="n">
        <v>1</v>
      </c>
    </row>
    <row r="100">
      <c r="A100" t="inlineStr">
        <is>
          <t>02/11/2025</t>
        </is>
      </c>
      <c r="B100" t="inlineStr">
        <is>
          <t>Man City</t>
        </is>
      </c>
      <c r="C100" t="inlineStr">
        <is>
          <t>Bournemouth</t>
        </is>
      </c>
      <c r="D100" t="n">
        <v>3</v>
      </c>
      <c r="E100" t="n">
        <v>1</v>
      </c>
    </row>
    <row r="101">
      <c r="A101" t="inlineStr">
        <is>
          <t>03/11/2025</t>
        </is>
      </c>
      <c r="B101" t="inlineStr">
        <is>
          <t>Sunderland</t>
        </is>
      </c>
      <c r="C101" t="inlineStr">
        <is>
          <t>Everton</t>
        </is>
      </c>
      <c r="D101" t="n">
        <v>1</v>
      </c>
      <c r="E101" t="n">
        <v>1</v>
      </c>
    </row>
    <row r="102">
      <c r="A102" t="inlineStr">
        <is>
          <t>08/11/2025</t>
        </is>
      </c>
      <c r="B102" t="inlineStr">
        <is>
          <t>Tottenham</t>
        </is>
      </c>
      <c r="C102" t="inlineStr">
        <is>
          <t>Man United</t>
        </is>
      </c>
      <c r="D102" t="n">
        <v>2</v>
      </c>
      <c r="E102" t="n">
        <v>2</v>
      </c>
    </row>
    <row r="103">
      <c r="A103" t="inlineStr">
        <is>
          <t>08/11/2025</t>
        </is>
      </c>
      <c r="B103" t="inlineStr">
        <is>
          <t>Everton</t>
        </is>
      </c>
      <c r="C103" t="inlineStr">
        <is>
          <t>Fulham</t>
        </is>
      </c>
      <c r="D103" t="n">
        <v>2</v>
      </c>
      <c r="E103" t="n">
        <v>0</v>
      </c>
    </row>
    <row r="104">
      <c r="A104" t="inlineStr">
        <is>
          <t>08/11/2025</t>
        </is>
      </c>
      <c r="B104" t="inlineStr">
        <is>
          <t>West Ham</t>
        </is>
      </c>
      <c r="C104" t="inlineStr">
        <is>
          <t>Burnley</t>
        </is>
      </c>
      <c r="D104" t="n">
        <v>3</v>
      </c>
      <c r="E104" t="n">
        <v>2</v>
      </c>
    </row>
    <row r="105">
      <c r="A105" t="inlineStr">
        <is>
          <t>08/11/2025</t>
        </is>
      </c>
      <c r="B105" t="inlineStr">
        <is>
          <t>Sunderland</t>
        </is>
      </c>
      <c r="C105" t="inlineStr">
        <is>
          <t>Arsenal</t>
        </is>
      </c>
      <c r="D105" t="n">
        <v>2</v>
      </c>
      <c r="E105" t="n">
        <v>2</v>
      </c>
    </row>
    <row r="106">
      <c r="A106" t="inlineStr">
        <is>
          <t>08/11/2025</t>
        </is>
      </c>
      <c r="B106" t="inlineStr">
        <is>
          <t>Chelsea</t>
        </is>
      </c>
      <c r="C106" t="inlineStr">
        <is>
          <t>Wolves</t>
        </is>
      </c>
      <c r="D106" t="n">
        <v>3</v>
      </c>
      <c r="E106" t="n">
        <v>0</v>
      </c>
    </row>
    <row r="107">
      <c r="A107" t="inlineStr">
        <is>
          <t>09/11/2025</t>
        </is>
      </c>
      <c r="B107" t="inlineStr">
        <is>
          <t>Aston Villa</t>
        </is>
      </c>
      <c r="C107" t="inlineStr">
        <is>
          <t>Bournemouth</t>
        </is>
      </c>
      <c r="D107" t="n">
        <v>4</v>
      </c>
      <c r="E107" t="n">
        <v>0</v>
      </c>
    </row>
    <row r="108">
      <c r="A108" t="inlineStr">
        <is>
          <t>09/11/2025</t>
        </is>
      </c>
      <c r="B108" t="inlineStr">
        <is>
          <t>Brentford</t>
        </is>
      </c>
      <c r="C108" t="inlineStr">
        <is>
          <t>Newcastle</t>
        </is>
      </c>
      <c r="D108" t="n">
        <v>3</v>
      </c>
      <c r="E108" t="n">
        <v>1</v>
      </c>
    </row>
    <row r="109">
      <c r="A109" t="inlineStr">
        <is>
          <t>09/11/2025</t>
        </is>
      </c>
      <c r="B109" t="inlineStr">
        <is>
          <t>Crystal Palace</t>
        </is>
      </c>
      <c r="C109" t="inlineStr">
        <is>
          <t>Brighton</t>
        </is>
      </c>
      <c r="D109" t="n">
        <v>0</v>
      </c>
      <c r="E109" t="n">
        <v>0</v>
      </c>
    </row>
    <row r="110">
      <c r="A110" t="inlineStr">
        <is>
          <t>09/11/2025</t>
        </is>
      </c>
      <c r="B110" t="inlineStr">
        <is>
          <t>Nott'm Forest</t>
        </is>
      </c>
      <c r="C110" t="inlineStr">
        <is>
          <t>Leeds</t>
        </is>
      </c>
      <c r="D110" t="n">
        <v>3</v>
      </c>
      <c r="E110" t="n">
        <v>1</v>
      </c>
    </row>
    <row r="111">
      <c r="A111" t="inlineStr">
        <is>
          <t>09/11/2025</t>
        </is>
      </c>
      <c r="B111" t="inlineStr">
        <is>
          <t>Man City</t>
        </is>
      </c>
      <c r="C111" t="inlineStr">
        <is>
          <t>Liverpool</t>
        </is>
      </c>
      <c r="D111" t="n">
        <v>3</v>
      </c>
      <c r="E111" t="n">
        <v>0</v>
      </c>
    </row>
    <row r="112">
      <c r="A112" t="inlineStr">
        <is>
          <t>22/11/2025</t>
        </is>
      </c>
      <c r="B112" t="inlineStr">
        <is>
          <t>Burnley</t>
        </is>
      </c>
      <c r="C112" t="inlineStr">
        <is>
          <t>Chelsea</t>
        </is>
      </c>
      <c r="D112" t="n">
        <v>0</v>
      </c>
      <c r="E112" t="n">
        <v>2</v>
      </c>
    </row>
    <row r="113">
      <c r="A113" t="inlineStr">
        <is>
          <t>22/11/2025</t>
        </is>
      </c>
      <c r="B113" t="inlineStr">
        <is>
          <t>Bournemouth</t>
        </is>
      </c>
      <c r="C113" t="inlineStr">
        <is>
          <t>West Ham</t>
        </is>
      </c>
      <c r="D113" t="n">
        <v>2</v>
      </c>
      <c r="E113" t="n">
        <v>2</v>
      </c>
    </row>
    <row r="114">
      <c r="A114" t="inlineStr">
        <is>
          <t>22/11/2025</t>
        </is>
      </c>
      <c r="B114" t="inlineStr">
        <is>
          <t>Brighton</t>
        </is>
      </c>
      <c r="C114" t="inlineStr">
        <is>
          <t>Brentford</t>
        </is>
      </c>
      <c r="D114" t="n">
        <v>2</v>
      </c>
      <c r="E114" t="n">
        <v>1</v>
      </c>
    </row>
    <row r="115">
      <c r="A115" t="inlineStr">
        <is>
          <t>22/11/2025</t>
        </is>
      </c>
      <c r="B115" t="inlineStr">
        <is>
          <t>Fulham</t>
        </is>
      </c>
      <c r="C115" t="inlineStr">
        <is>
          <t>Sunderland</t>
        </is>
      </c>
      <c r="D115" t="n">
        <v>1</v>
      </c>
      <c r="E115" t="n">
        <v>0</v>
      </c>
    </row>
    <row r="116">
      <c r="A116" t="inlineStr">
        <is>
          <t>22/11/2025</t>
        </is>
      </c>
      <c r="B116" t="inlineStr">
        <is>
          <t>Liverpool</t>
        </is>
      </c>
      <c r="C116" t="inlineStr">
        <is>
          <t>Nott'm Forest</t>
        </is>
      </c>
      <c r="D116" t="n">
        <v>0</v>
      </c>
      <c r="E116" t="n">
        <v>3</v>
      </c>
    </row>
    <row r="117">
      <c r="A117" t="inlineStr">
        <is>
          <t>22/11/2025</t>
        </is>
      </c>
      <c r="B117" t="inlineStr">
        <is>
          <t>Wolves</t>
        </is>
      </c>
      <c r="C117" t="inlineStr">
        <is>
          <t>Crystal Palace</t>
        </is>
      </c>
      <c r="D117" t="n">
        <v>0</v>
      </c>
      <c r="E117" t="n">
        <v>2</v>
      </c>
    </row>
    <row r="118">
      <c r="A118" t="inlineStr">
        <is>
          <t>22/11/2025</t>
        </is>
      </c>
      <c r="B118" t="inlineStr">
        <is>
          <t>Newcastle</t>
        </is>
      </c>
      <c r="C118" t="inlineStr">
        <is>
          <t>Man City</t>
        </is>
      </c>
      <c r="D118" t="n">
        <v>2</v>
      </c>
      <c r="E118" t="n">
        <v>1</v>
      </c>
    </row>
    <row r="119">
      <c r="A119" t="inlineStr">
        <is>
          <t>23/11/2025</t>
        </is>
      </c>
      <c r="B119" t="inlineStr">
        <is>
          <t>Leeds</t>
        </is>
      </c>
      <c r="C119" t="inlineStr">
        <is>
          <t>Aston Villa</t>
        </is>
      </c>
      <c r="D119" t="n">
        <v>1</v>
      </c>
      <c r="E119" t="n">
        <v>2</v>
      </c>
    </row>
    <row r="120">
      <c r="A120" t="inlineStr">
        <is>
          <t>23/11/2025</t>
        </is>
      </c>
      <c r="B120" t="inlineStr">
        <is>
          <t>Arsenal</t>
        </is>
      </c>
      <c r="C120" t="inlineStr">
        <is>
          <t>Tottenham</t>
        </is>
      </c>
      <c r="D120" t="n">
        <v>4</v>
      </c>
      <c r="E120" t="n">
        <v>1</v>
      </c>
    </row>
    <row r="121">
      <c r="A121" t="inlineStr">
        <is>
          <t>24/11/2025</t>
        </is>
      </c>
      <c r="B121" t="inlineStr">
        <is>
          <t>Man United</t>
        </is>
      </c>
      <c r="C121" t="inlineStr">
        <is>
          <t>Everton</t>
        </is>
      </c>
      <c r="D121" t="n">
        <v>0</v>
      </c>
      <c r="E121" t="n">
        <v>1</v>
      </c>
    </row>
    <row r="122">
      <c r="A122" t="inlineStr">
        <is>
          <t>29/11/2025</t>
        </is>
      </c>
      <c r="B122" t="inlineStr">
        <is>
          <t>Brentford</t>
        </is>
      </c>
      <c r="C122" t="inlineStr">
        <is>
          <t>Burnley</t>
        </is>
      </c>
      <c r="D122" t="n">
        <v>3</v>
      </c>
      <c r="E122" t="n">
        <v>1</v>
      </c>
    </row>
    <row r="123">
      <c r="A123" t="inlineStr">
        <is>
          <t>29/11/2025</t>
        </is>
      </c>
      <c r="B123" t="inlineStr">
        <is>
          <t>Man City</t>
        </is>
      </c>
      <c r="C123" t="inlineStr">
        <is>
          <t>Leeds</t>
        </is>
      </c>
      <c r="D123" t="n">
        <v>3</v>
      </c>
      <c r="E123" t="n">
        <v>2</v>
      </c>
    </row>
    <row r="124">
      <c r="A124" t="inlineStr">
        <is>
          <t>29/11/2025</t>
        </is>
      </c>
      <c r="B124" t="inlineStr">
        <is>
          <t>Sunderland</t>
        </is>
      </c>
      <c r="C124" t="inlineStr">
        <is>
          <t>Bournemouth</t>
        </is>
      </c>
      <c r="D124" t="n">
        <v>3</v>
      </c>
      <c r="E124" t="n">
        <v>2</v>
      </c>
    </row>
    <row r="125">
      <c r="A125" t="inlineStr">
        <is>
          <t>29/11/2025</t>
        </is>
      </c>
      <c r="B125" t="inlineStr">
        <is>
          <t>Everton</t>
        </is>
      </c>
      <c r="C125" t="inlineStr">
        <is>
          <t>Newcastle</t>
        </is>
      </c>
      <c r="D125" t="n">
        <v>1</v>
      </c>
      <c r="E125" t="n">
        <v>4</v>
      </c>
    </row>
    <row r="126">
      <c r="A126" t="inlineStr">
        <is>
          <t>29/11/2025</t>
        </is>
      </c>
      <c r="B126" t="inlineStr">
        <is>
          <t>Tottenham</t>
        </is>
      </c>
      <c r="C126" t="inlineStr">
        <is>
          <t>Fulham</t>
        </is>
      </c>
      <c r="D126" t="n">
        <v>1</v>
      </c>
      <c r="E126" t="n">
        <v>2</v>
      </c>
    </row>
    <row r="127">
      <c r="A127" t="inlineStr">
        <is>
          <t>30/11/2025</t>
        </is>
      </c>
      <c r="B127" t="inlineStr">
        <is>
          <t>Crystal Palace</t>
        </is>
      </c>
      <c r="C127" t="inlineStr">
        <is>
          <t>Man United</t>
        </is>
      </c>
      <c r="D127" t="n">
        <v>1</v>
      </c>
      <c r="E127" t="n">
        <v>2</v>
      </c>
    </row>
    <row r="128">
      <c r="A128" t="inlineStr">
        <is>
          <t>30/11/2025</t>
        </is>
      </c>
      <c r="B128" t="inlineStr">
        <is>
          <t>Aston Villa</t>
        </is>
      </c>
      <c r="C128" t="inlineStr">
        <is>
          <t>Wolves</t>
        </is>
      </c>
      <c r="D128" t="n">
        <v>1</v>
      </c>
      <c r="E128" t="n">
        <v>0</v>
      </c>
    </row>
    <row r="129">
      <c r="A129" t="inlineStr">
        <is>
          <t>30/11/2025</t>
        </is>
      </c>
      <c r="B129" t="inlineStr">
        <is>
          <t>Nott'm Forest</t>
        </is>
      </c>
      <c r="C129" t="inlineStr">
        <is>
          <t>Brighton</t>
        </is>
      </c>
      <c r="D129" t="n">
        <v>0</v>
      </c>
      <c r="E129" t="n">
        <v>2</v>
      </c>
    </row>
    <row r="130">
      <c r="A130" t="inlineStr">
        <is>
          <t>30/11/2025</t>
        </is>
      </c>
      <c r="B130" t="inlineStr">
        <is>
          <t>West Ham</t>
        </is>
      </c>
      <c r="C130" t="inlineStr">
        <is>
          <t>Liverpool</t>
        </is>
      </c>
      <c r="D130" t="n">
        <v>0</v>
      </c>
      <c r="E130" t="n">
        <v>2</v>
      </c>
    </row>
    <row r="131">
      <c r="A131" t="inlineStr">
        <is>
          <t>30/11/2025</t>
        </is>
      </c>
      <c r="B131" t="inlineStr">
        <is>
          <t>Chelsea</t>
        </is>
      </c>
      <c r="C131" t="inlineStr">
        <is>
          <t>Arsenal</t>
        </is>
      </c>
      <c r="D131" t="n">
        <v>1</v>
      </c>
      <c r="E131" t="n">
        <v>1</v>
      </c>
    </row>
    <row r="132">
      <c r="A132" t="inlineStr">
        <is>
          <t>02/12/2025</t>
        </is>
      </c>
      <c r="B132" t="inlineStr">
        <is>
          <t>Bournemouth</t>
        </is>
      </c>
      <c r="C132" t="inlineStr">
        <is>
          <t>Everton</t>
        </is>
      </c>
      <c r="D132" t="n">
        <v>0</v>
      </c>
      <c r="E132" t="n">
        <v>1</v>
      </c>
    </row>
    <row r="133">
      <c r="A133" t="inlineStr">
        <is>
          <t>02/12/2025</t>
        </is>
      </c>
      <c r="B133" t="inlineStr">
        <is>
          <t>Fulham</t>
        </is>
      </c>
      <c r="C133" t="inlineStr">
        <is>
          <t>Man City</t>
        </is>
      </c>
      <c r="D133" t="n">
        <v>4</v>
      </c>
      <c r="E133" t="n">
        <v>5</v>
      </c>
    </row>
    <row r="134">
      <c r="A134" t="inlineStr">
        <is>
          <t>02/12/2025</t>
        </is>
      </c>
      <c r="B134" t="inlineStr">
        <is>
          <t>Newcastle</t>
        </is>
      </c>
      <c r="C134" t="inlineStr">
        <is>
          <t>Tottenham</t>
        </is>
      </c>
      <c r="D134" t="n">
        <v>2</v>
      </c>
      <c r="E134" t="n">
        <v>2</v>
      </c>
    </row>
    <row r="135">
      <c r="A135" t="inlineStr">
        <is>
          <t>03/12/2025</t>
        </is>
      </c>
      <c r="B135" t="inlineStr">
        <is>
          <t>Arsenal</t>
        </is>
      </c>
      <c r="C135" t="inlineStr">
        <is>
          <t>Brentford</t>
        </is>
      </c>
      <c r="D135" t="n">
        <v>2</v>
      </c>
      <c r="E135" t="n">
        <v>0</v>
      </c>
    </row>
    <row r="136">
      <c r="A136" t="inlineStr">
        <is>
          <t>03/12/2025</t>
        </is>
      </c>
      <c r="B136" t="inlineStr">
        <is>
          <t>Brighton</t>
        </is>
      </c>
      <c r="C136" t="inlineStr">
        <is>
          <t>Aston Villa</t>
        </is>
      </c>
      <c r="D136" t="n">
        <v>3</v>
      </c>
      <c r="E136" t="n">
        <v>4</v>
      </c>
    </row>
    <row r="137">
      <c r="A137" t="inlineStr">
        <is>
          <t>03/12/2025</t>
        </is>
      </c>
      <c r="B137" t="inlineStr">
        <is>
          <t>Burnley</t>
        </is>
      </c>
      <c r="C137" t="inlineStr">
        <is>
          <t>Crystal Palace</t>
        </is>
      </c>
      <c r="D137" t="n">
        <v>0</v>
      </c>
      <c r="E137" t="n">
        <v>1</v>
      </c>
    </row>
    <row r="138">
      <c r="A138" t="inlineStr">
        <is>
          <t>03/12/2025</t>
        </is>
      </c>
      <c r="B138" t="inlineStr">
        <is>
          <t>Wolves</t>
        </is>
      </c>
      <c r="C138" t="inlineStr">
        <is>
          <t>Nott'm Forest</t>
        </is>
      </c>
      <c r="D138" t="n">
        <v>0</v>
      </c>
      <c r="E138" t="n">
        <v>1</v>
      </c>
    </row>
    <row r="139">
      <c r="A139" t="inlineStr">
        <is>
          <t>03/12/2025</t>
        </is>
      </c>
      <c r="B139" t="inlineStr">
        <is>
          <t>Leeds</t>
        </is>
      </c>
      <c r="C139" t="inlineStr">
        <is>
          <t>Chelsea</t>
        </is>
      </c>
      <c r="D139" t="n">
        <v>3</v>
      </c>
      <c r="E139" t="n">
        <v>1</v>
      </c>
    </row>
    <row r="140">
      <c r="A140" t="inlineStr">
        <is>
          <t>03/12/2025</t>
        </is>
      </c>
      <c r="B140" t="inlineStr">
        <is>
          <t>Liverpool</t>
        </is>
      </c>
      <c r="C140" t="inlineStr">
        <is>
          <t>Sunderland</t>
        </is>
      </c>
      <c r="D140" t="n">
        <v>1</v>
      </c>
      <c r="E140" t="n">
        <v>1</v>
      </c>
    </row>
    <row r="141">
      <c r="A141" t="inlineStr">
        <is>
          <t>04/12/2025</t>
        </is>
      </c>
      <c r="B141" t="inlineStr">
        <is>
          <t>Man United</t>
        </is>
      </c>
      <c r="C141" t="inlineStr">
        <is>
          <t>West Ham</t>
        </is>
      </c>
      <c r="D141" t="n">
        <v>1</v>
      </c>
      <c r="E141" t="n">
        <v>1</v>
      </c>
    </row>
    <row r="142">
      <c r="A142" t="inlineStr">
        <is>
          <t>06/12/2025</t>
        </is>
      </c>
      <c r="B142" t="inlineStr">
        <is>
          <t>Aston Villa</t>
        </is>
      </c>
      <c r="C142" t="inlineStr">
        <is>
          <t>Arsenal</t>
        </is>
      </c>
      <c r="D142" t="n">
        <v>2</v>
      </c>
      <c r="E142" t="n">
        <v>1</v>
      </c>
    </row>
    <row r="143">
      <c r="A143" t="inlineStr">
        <is>
          <t>06/12/2025</t>
        </is>
      </c>
      <c r="B143" t="inlineStr">
        <is>
          <t>Bournemouth</t>
        </is>
      </c>
      <c r="C143" t="inlineStr">
        <is>
          <t>Chelsea</t>
        </is>
      </c>
      <c r="D143" t="n">
        <v>0</v>
      </c>
      <c r="E143" t="n">
        <v>0</v>
      </c>
    </row>
    <row r="144">
      <c r="A144" t="inlineStr">
        <is>
          <t>06/12/2025</t>
        </is>
      </c>
      <c r="B144" t="inlineStr">
        <is>
          <t>Everton</t>
        </is>
      </c>
      <c r="C144" t="inlineStr">
        <is>
          <t>Nott'm Forest</t>
        </is>
      </c>
      <c r="D144" t="n">
        <v>3</v>
      </c>
      <c r="E144" t="n">
        <v>0</v>
      </c>
    </row>
    <row r="145">
      <c r="A145" t="inlineStr">
        <is>
          <t>06/12/2025</t>
        </is>
      </c>
      <c r="B145" t="inlineStr">
        <is>
          <t>Man City</t>
        </is>
      </c>
      <c r="C145" t="inlineStr">
        <is>
          <t>Sunderland</t>
        </is>
      </c>
      <c r="D145" t="n">
        <v>3</v>
      </c>
      <c r="E145" t="n">
        <v>0</v>
      </c>
    </row>
    <row r="146">
      <c r="A146" t="inlineStr">
        <is>
          <t>06/12/2025</t>
        </is>
      </c>
      <c r="B146" t="inlineStr">
        <is>
          <t>Newcastle</t>
        </is>
      </c>
      <c r="C146" t="inlineStr">
        <is>
          <t>Burnley</t>
        </is>
      </c>
      <c r="D146" t="n">
        <v>2</v>
      </c>
      <c r="E146" t="n">
        <v>1</v>
      </c>
    </row>
    <row r="147">
      <c r="A147" t="inlineStr">
        <is>
          <t>06/12/2025</t>
        </is>
      </c>
      <c r="B147" t="inlineStr">
        <is>
          <t>Tottenham</t>
        </is>
      </c>
      <c r="C147" t="inlineStr">
        <is>
          <t>Brentford</t>
        </is>
      </c>
      <c r="D147" t="n">
        <v>2</v>
      </c>
      <c r="E147" t="n">
        <v>0</v>
      </c>
    </row>
    <row r="148">
      <c r="A148" t="inlineStr">
        <is>
          <t>06/12/2025</t>
        </is>
      </c>
      <c r="B148" t="inlineStr">
        <is>
          <t>Leeds</t>
        </is>
      </c>
      <c r="C148" t="inlineStr">
        <is>
          <t>Liverpool</t>
        </is>
      </c>
      <c r="D148" t="n">
        <v>3</v>
      </c>
      <c r="E148" t="n">
        <v>3</v>
      </c>
    </row>
    <row r="149">
      <c r="A149" t="inlineStr">
        <is>
          <t>07/12/2025</t>
        </is>
      </c>
      <c r="B149" t="inlineStr">
        <is>
          <t>Brighton</t>
        </is>
      </c>
      <c r="C149" t="inlineStr">
        <is>
          <t>West Ham</t>
        </is>
      </c>
      <c r="D149" t="n">
        <v>1</v>
      </c>
      <c r="E149" t="n">
        <v>1</v>
      </c>
    </row>
    <row r="150">
      <c r="A150" t="inlineStr">
        <is>
          <t>07/12/2025</t>
        </is>
      </c>
      <c r="B150" t="inlineStr">
        <is>
          <t>Fulham</t>
        </is>
      </c>
      <c r="C150" t="inlineStr">
        <is>
          <t>Crystal Palace</t>
        </is>
      </c>
      <c r="D150" t="n">
        <v>1</v>
      </c>
      <c r="E150" t="n">
        <v>2</v>
      </c>
    </row>
    <row r="151">
      <c r="A151" t="inlineStr">
        <is>
          <t>08/12/2025</t>
        </is>
      </c>
      <c r="B151" t="inlineStr">
        <is>
          <t>Wolves</t>
        </is>
      </c>
      <c r="C151" t="inlineStr">
        <is>
          <t>Man United</t>
        </is>
      </c>
      <c r="D151" t="n">
        <v>1</v>
      </c>
      <c r="E151" t="n">
        <v>4</v>
      </c>
    </row>
    <row r="152">
      <c r="A152" t="inlineStr">
        <is>
          <t>13/12/2025</t>
        </is>
      </c>
      <c r="B152" t="inlineStr">
        <is>
          <t>Chelsea</t>
        </is>
      </c>
      <c r="C152" t="inlineStr">
        <is>
          <t>Everton</t>
        </is>
      </c>
      <c r="D152" t="n">
        <v>2</v>
      </c>
      <c r="E152" t="n">
        <v>0</v>
      </c>
    </row>
    <row r="153">
      <c r="A153" t="inlineStr">
        <is>
          <t>13/12/2025</t>
        </is>
      </c>
      <c r="B153" t="inlineStr">
        <is>
          <t>Liverpool</t>
        </is>
      </c>
      <c r="C153" t="inlineStr">
        <is>
          <t>Brighton</t>
        </is>
      </c>
      <c r="D153" t="n">
        <v>2</v>
      </c>
      <c r="E153" t="n">
        <v>0</v>
      </c>
    </row>
    <row r="154">
      <c r="A154" t="inlineStr">
        <is>
          <t>13/12/2025</t>
        </is>
      </c>
      <c r="B154" t="inlineStr">
        <is>
          <t>Burnley</t>
        </is>
      </c>
      <c r="C154" t="inlineStr">
        <is>
          <t>Fulham</t>
        </is>
      </c>
      <c r="D154" t="n">
        <v>2</v>
      </c>
      <c r="E154" t="n">
        <v>3</v>
      </c>
    </row>
    <row r="155">
      <c r="A155" t="inlineStr">
        <is>
          <t>13/12/2025</t>
        </is>
      </c>
      <c r="B155" t="inlineStr">
        <is>
          <t>Arsenal</t>
        </is>
      </c>
      <c r="C155" t="inlineStr">
        <is>
          <t>Wolves</t>
        </is>
      </c>
      <c r="D155" t="n">
        <v>2</v>
      </c>
      <c r="E155" t="n">
        <v>1</v>
      </c>
    </row>
    <row r="156">
      <c r="A156" t="inlineStr">
        <is>
          <t>14/12/2025</t>
        </is>
      </c>
      <c r="B156" t="inlineStr">
        <is>
          <t>Crystal Palace</t>
        </is>
      </c>
      <c r="C156" t="inlineStr">
        <is>
          <t>Man City</t>
        </is>
      </c>
      <c r="D156" t="n">
        <v>0</v>
      </c>
      <c r="E156" t="n">
        <v>3</v>
      </c>
    </row>
    <row r="157">
      <c r="A157" t="inlineStr">
        <is>
          <t>14/12/2025</t>
        </is>
      </c>
      <c r="B157" t="inlineStr">
        <is>
          <t>Nott'm Forest</t>
        </is>
      </c>
      <c r="C157" t="inlineStr">
        <is>
          <t>Tottenham</t>
        </is>
      </c>
      <c r="D157" t="n">
        <v>3</v>
      </c>
      <c r="E157" t="n">
        <v>0</v>
      </c>
    </row>
    <row r="158">
      <c r="A158" t="inlineStr">
        <is>
          <t>14/12/2025</t>
        </is>
      </c>
      <c r="B158" t="inlineStr">
        <is>
          <t>Sunderland</t>
        </is>
      </c>
      <c r="C158" t="inlineStr">
        <is>
          <t>Newcastle</t>
        </is>
      </c>
      <c r="D158" t="n">
        <v>1</v>
      </c>
      <c r="E158" t="n">
        <v>0</v>
      </c>
    </row>
    <row r="159">
      <c r="A159" t="inlineStr">
        <is>
          <t>14/12/2025</t>
        </is>
      </c>
      <c r="B159" t="inlineStr">
        <is>
          <t>West Ham</t>
        </is>
      </c>
      <c r="C159" t="inlineStr">
        <is>
          <t>Aston Villa</t>
        </is>
      </c>
      <c r="D159" t="n">
        <v>2</v>
      </c>
      <c r="E159" t="n">
        <v>3</v>
      </c>
    </row>
    <row r="160">
      <c r="A160" t="inlineStr">
        <is>
          <t>14/12/2025</t>
        </is>
      </c>
      <c r="B160" t="inlineStr">
        <is>
          <t>Brentford</t>
        </is>
      </c>
      <c r="C160" t="inlineStr">
        <is>
          <t>Leeds</t>
        </is>
      </c>
      <c r="D160" t="n">
        <v>1</v>
      </c>
      <c r="E160" t="n">
        <v>1</v>
      </c>
    </row>
    <row r="161">
      <c r="A161" t="inlineStr">
        <is>
          <t>15/12/2025</t>
        </is>
      </c>
      <c r="B161" t="inlineStr">
        <is>
          <t>Man United</t>
        </is>
      </c>
      <c r="C161" t="inlineStr">
        <is>
          <t>Bournemouth</t>
        </is>
      </c>
      <c r="D161" t="n">
        <v>4</v>
      </c>
      <c r="E161" t="n">
        <v>4</v>
      </c>
    </row>
    <row r="162">
      <c r="A162" t="inlineStr">
        <is>
          <t>20/12/2025</t>
        </is>
      </c>
      <c r="B162" t="inlineStr">
        <is>
          <t>Newcastle</t>
        </is>
      </c>
      <c r="C162" t="inlineStr">
        <is>
          <t>Chelsea</t>
        </is>
      </c>
      <c r="D162" t="n">
        <v>2</v>
      </c>
      <c r="E162" t="n">
        <v>2</v>
      </c>
    </row>
    <row r="163">
      <c r="A163" t="inlineStr">
        <is>
          <t>20/12/2025</t>
        </is>
      </c>
      <c r="B163" t="inlineStr">
        <is>
          <t>Bournemouth</t>
        </is>
      </c>
      <c r="C163" t="inlineStr">
        <is>
          <t>Burnley</t>
        </is>
      </c>
      <c r="D163" t="n">
        <v>1</v>
      </c>
      <c r="E163" t="n">
        <v>1</v>
      </c>
    </row>
    <row r="164">
      <c r="A164" t="inlineStr">
        <is>
          <t>20/12/2025</t>
        </is>
      </c>
      <c r="B164" t="inlineStr">
        <is>
          <t>Brighton</t>
        </is>
      </c>
      <c r="C164" t="inlineStr">
        <is>
          <t>Sunderland</t>
        </is>
      </c>
      <c r="D164" t="n">
        <v>0</v>
      </c>
      <c r="E164" t="n">
        <v>0</v>
      </c>
    </row>
    <row r="165">
      <c r="A165" t="inlineStr">
        <is>
          <t>20/12/2025</t>
        </is>
      </c>
      <c r="B165" t="inlineStr">
        <is>
          <t>Man City</t>
        </is>
      </c>
      <c r="C165" t="inlineStr">
        <is>
          <t>West Ham</t>
        </is>
      </c>
      <c r="D165" t="n">
        <v>3</v>
      </c>
      <c r="E165" t="n">
        <v>0</v>
      </c>
    </row>
    <row r="166">
      <c r="A166" t="inlineStr">
        <is>
          <t>20/12/2025</t>
        </is>
      </c>
      <c r="B166" t="inlineStr">
        <is>
          <t>Wolves</t>
        </is>
      </c>
      <c r="C166" t="inlineStr">
        <is>
          <t>Brentford</t>
        </is>
      </c>
      <c r="D166" t="n">
        <v>0</v>
      </c>
      <c r="E166" t="n">
        <v>2</v>
      </c>
    </row>
    <row r="167">
      <c r="A167" t="inlineStr">
        <is>
          <t>20/12/2025</t>
        </is>
      </c>
      <c r="B167" t="inlineStr">
        <is>
          <t>Tottenham</t>
        </is>
      </c>
      <c r="C167" t="inlineStr">
        <is>
          <t>Liverpool</t>
        </is>
      </c>
      <c r="D167" t="n">
        <v>1</v>
      </c>
      <c r="E167" t="n">
        <v>2</v>
      </c>
    </row>
    <row r="168">
      <c r="A168" t="inlineStr">
        <is>
          <t>20/12/2025</t>
        </is>
      </c>
      <c r="B168" t="inlineStr">
        <is>
          <t>Everton</t>
        </is>
      </c>
      <c r="C168" t="inlineStr">
        <is>
          <t>Arsenal</t>
        </is>
      </c>
      <c r="D168" t="n">
        <v>0</v>
      </c>
      <c r="E168" t="n">
        <v>1</v>
      </c>
    </row>
    <row r="169">
      <c r="A169" t="inlineStr">
        <is>
          <t>20/12/2025</t>
        </is>
      </c>
      <c r="B169" t="inlineStr">
        <is>
          <t>Leeds</t>
        </is>
      </c>
      <c r="C169" t="inlineStr">
        <is>
          <t>Crystal Palace</t>
        </is>
      </c>
      <c r="D169" t="n">
        <v>4</v>
      </c>
      <c r="E169" t="n">
        <v>1</v>
      </c>
    </row>
    <row r="170">
      <c r="A170" t="inlineStr">
        <is>
          <t>21/12/2025</t>
        </is>
      </c>
      <c r="B170" t="inlineStr">
        <is>
          <t>Aston Villa</t>
        </is>
      </c>
      <c r="C170" t="inlineStr">
        <is>
          <t>Man United</t>
        </is>
      </c>
      <c r="D170" t="n">
        <v>2</v>
      </c>
      <c r="E170" t="n">
        <v>1</v>
      </c>
    </row>
    <row r="171">
      <c r="A171" t="inlineStr">
        <is>
          <t>22/12/2025</t>
        </is>
      </c>
      <c r="B171" t="inlineStr">
        <is>
          <t>Fulham</t>
        </is>
      </c>
      <c r="C171" t="inlineStr">
        <is>
          <t>Nott'm Forest</t>
        </is>
      </c>
      <c r="D171" t="n">
        <v>1</v>
      </c>
      <c r="E171" t="n">
        <v>0</v>
      </c>
    </row>
    <row r="172">
      <c r="A172" t="inlineStr">
        <is>
          <t>26/12/2025</t>
        </is>
      </c>
      <c r="B172" t="inlineStr">
        <is>
          <t>Man United</t>
        </is>
      </c>
      <c r="C172" t="inlineStr">
        <is>
          <t>Newcastle</t>
        </is>
      </c>
      <c r="D172" t="n">
        <v>1</v>
      </c>
      <c r="E172" t="n">
        <v>0</v>
      </c>
    </row>
    <row r="173">
      <c r="A173" t="inlineStr">
        <is>
          <t>27/12/2025</t>
        </is>
      </c>
      <c r="B173" t="inlineStr">
        <is>
          <t>Nott'm Forest</t>
        </is>
      </c>
      <c r="C173" t="inlineStr">
        <is>
          <t>Man City</t>
        </is>
      </c>
      <c r="D173" t="n">
        <v>1</v>
      </c>
      <c r="E173" t="n">
        <v>2</v>
      </c>
    </row>
    <row r="174">
      <c r="A174" t="inlineStr">
        <is>
          <t>27/12/2025</t>
        </is>
      </c>
      <c r="B174" t="inlineStr">
        <is>
          <t>Arsenal</t>
        </is>
      </c>
      <c r="C174" t="inlineStr">
        <is>
          <t>Brighton</t>
        </is>
      </c>
      <c r="D174" t="n">
        <v>2</v>
      </c>
      <c r="E174" t="n">
        <v>1</v>
      </c>
    </row>
    <row r="175">
      <c r="A175" t="inlineStr">
        <is>
          <t>27/12/2025</t>
        </is>
      </c>
      <c r="B175" t="inlineStr">
        <is>
          <t>Brentford</t>
        </is>
      </c>
      <c r="C175" t="inlineStr">
        <is>
          <t>Bournemouth</t>
        </is>
      </c>
      <c r="D175" t="n">
        <v>4</v>
      </c>
      <c r="E175" t="n">
        <v>1</v>
      </c>
    </row>
    <row r="176">
      <c r="A176" t="inlineStr">
        <is>
          <t>27/12/2025</t>
        </is>
      </c>
      <c r="B176" t="inlineStr">
        <is>
          <t>Burnley</t>
        </is>
      </c>
      <c r="C176" t="inlineStr">
        <is>
          <t>Everton</t>
        </is>
      </c>
      <c r="D176" t="n">
        <v>0</v>
      </c>
      <c r="E176" t="n">
        <v>0</v>
      </c>
    </row>
    <row r="177">
      <c r="A177" t="inlineStr">
        <is>
          <t>27/12/2025</t>
        </is>
      </c>
      <c r="B177" t="inlineStr">
        <is>
          <t>Liverpool</t>
        </is>
      </c>
      <c r="C177" t="inlineStr">
        <is>
          <t>Wolves</t>
        </is>
      </c>
      <c r="D177" t="n">
        <v>2</v>
      </c>
      <c r="E177" t="n">
        <v>1</v>
      </c>
    </row>
    <row r="178">
      <c r="A178" t="inlineStr">
        <is>
          <t>27/12/2025</t>
        </is>
      </c>
      <c r="B178" t="inlineStr">
        <is>
          <t>West Ham</t>
        </is>
      </c>
      <c r="C178" t="inlineStr">
        <is>
          <t>Fulham</t>
        </is>
      </c>
      <c r="D178" t="n">
        <v>0</v>
      </c>
      <c r="E178" t="n">
        <v>1</v>
      </c>
    </row>
    <row r="179">
      <c r="A179" t="inlineStr">
        <is>
          <t>27/12/2025</t>
        </is>
      </c>
      <c r="B179" t="inlineStr">
        <is>
          <t>Chelsea</t>
        </is>
      </c>
      <c r="C179" t="inlineStr">
        <is>
          <t>Aston Villa</t>
        </is>
      </c>
      <c r="D179" t="n">
        <v>1</v>
      </c>
      <c r="E179" t="n">
        <v>2</v>
      </c>
    </row>
    <row r="180">
      <c r="A180" t="inlineStr">
        <is>
          <t>28/12/2025</t>
        </is>
      </c>
      <c r="B180" t="inlineStr">
        <is>
          <t>Sunderland</t>
        </is>
      </c>
      <c r="C180" t="inlineStr">
        <is>
          <t>Leeds</t>
        </is>
      </c>
      <c r="D180" t="n">
        <v>1</v>
      </c>
      <c r="E180" t="n">
        <v>1</v>
      </c>
    </row>
    <row r="181">
      <c r="A181" t="inlineStr">
        <is>
          <t>28/12/2025</t>
        </is>
      </c>
      <c r="B181" t="inlineStr">
        <is>
          <t>Crystal Palace</t>
        </is>
      </c>
      <c r="C181" t="inlineStr">
        <is>
          <t>Tottenham</t>
        </is>
      </c>
      <c r="D181" t="n">
        <v>0</v>
      </c>
      <c r="E181" t="n">
        <v>1</v>
      </c>
    </row>
    <row r="182">
      <c r="A182" t="inlineStr">
        <is>
          <t>30/12/2025</t>
        </is>
      </c>
      <c r="B182" t="inlineStr">
        <is>
          <t>Burnley</t>
        </is>
      </c>
      <c r="C182" t="inlineStr">
        <is>
          <t>Newcastle</t>
        </is>
      </c>
      <c r="D182" t="n">
        <v>1</v>
      </c>
      <c r="E182" t="n">
        <v>3</v>
      </c>
    </row>
    <row r="183">
      <c r="A183" t="inlineStr">
        <is>
          <t>30/12/2025</t>
        </is>
      </c>
      <c r="B183" t="inlineStr">
        <is>
          <t>Chelsea</t>
        </is>
      </c>
      <c r="C183" t="inlineStr">
        <is>
          <t>Bournemouth</t>
        </is>
      </c>
      <c r="D183" t="n">
        <v>2</v>
      </c>
      <c r="E183" t="n">
        <v>2</v>
      </c>
    </row>
    <row r="184">
      <c r="A184" t="inlineStr">
        <is>
          <t>30/12/2025</t>
        </is>
      </c>
      <c r="B184" t="inlineStr">
        <is>
          <t>Nott'm Forest</t>
        </is>
      </c>
      <c r="C184" t="inlineStr">
        <is>
          <t>Everton</t>
        </is>
      </c>
      <c r="D184" t="n">
        <v>0</v>
      </c>
      <c r="E184" t="n">
        <v>2</v>
      </c>
    </row>
    <row r="185">
      <c r="A185" t="inlineStr">
        <is>
          <t>30/12/2025</t>
        </is>
      </c>
      <c r="B185" t="inlineStr">
        <is>
          <t>West Ham</t>
        </is>
      </c>
      <c r="C185" t="inlineStr">
        <is>
          <t>Brighton</t>
        </is>
      </c>
      <c r="D185" t="n">
        <v>2</v>
      </c>
      <c r="E185" t="n">
        <v>2</v>
      </c>
    </row>
    <row r="186">
      <c r="A186" t="inlineStr">
        <is>
          <t>30/12/2025</t>
        </is>
      </c>
      <c r="B186" t="inlineStr">
        <is>
          <t>Arsenal</t>
        </is>
      </c>
      <c r="C186" t="inlineStr">
        <is>
          <t>Aston Villa</t>
        </is>
      </c>
      <c r="D186" t="n">
        <v>4</v>
      </c>
      <c r="E186" t="n">
        <v>1</v>
      </c>
    </row>
    <row r="187">
      <c r="A187" t="inlineStr">
        <is>
          <t>30/12/2025</t>
        </is>
      </c>
      <c r="B187" t="inlineStr">
        <is>
          <t>Man United</t>
        </is>
      </c>
      <c r="C187" t="inlineStr">
        <is>
          <t>Wolves</t>
        </is>
      </c>
      <c r="D187" t="n">
        <v>1</v>
      </c>
      <c r="E187" t="n">
        <v>1</v>
      </c>
    </row>
    <row r="188">
      <c r="A188" t="inlineStr">
        <is>
          <t>01/01/2026</t>
        </is>
      </c>
      <c r="B188" t="inlineStr">
        <is>
          <t>Crystal Palace</t>
        </is>
      </c>
      <c r="C188" t="inlineStr">
        <is>
          <t>Fulham</t>
        </is>
      </c>
      <c r="D188" t="n">
        <v>1</v>
      </c>
      <c r="E188" t="n">
        <v>1</v>
      </c>
    </row>
    <row r="189">
      <c r="A189" t="inlineStr">
        <is>
          <t>01/01/2026</t>
        </is>
      </c>
      <c r="B189" t="inlineStr">
        <is>
          <t>Liverpool</t>
        </is>
      </c>
      <c r="C189" t="inlineStr">
        <is>
          <t>Leeds</t>
        </is>
      </c>
      <c r="D189" t="n">
        <v>0</v>
      </c>
      <c r="E189" t="n">
        <v>0</v>
      </c>
    </row>
    <row r="190">
      <c r="A190" t="inlineStr">
        <is>
          <t>01/01/2026</t>
        </is>
      </c>
      <c r="B190" t="inlineStr">
        <is>
          <t>Brentford</t>
        </is>
      </c>
      <c r="C190" t="inlineStr">
        <is>
          <t>Tottenham</t>
        </is>
      </c>
      <c r="D190" t="n">
        <v>0</v>
      </c>
      <c r="E190" t="n">
        <v>0</v>
      </c>
    </row>
    <row r="191">
      <c r="A191" t="inlineStr">
        <is>
          <t>01/01/2026</t>
        </is>
      </c>
      <c r="B191" t="inlineStr">
        <is>
          <t>Sunderland</t>
        </is>
      </c>
      <c r="C191" t="inlineStr">
        <is>
          <t>Man City</t>
        </is>
      </c>
      <c r="D191" t="n">
        <v>0</v>
      </c>
      <c r="E191" t="n">
        <v>0</v>
      </c>
    </row>
    <row r="192">
      <c r="A192" t="inlineStr">
        <is>
          <t>03/01/2026</t>
        </is>
      </c>
      <c r="B192" t="inlineStr">
        <is>
          <t>Aston Villa</t>
        </is>
      </c>
      <c r="C192" t="inlineStr">
        <is>
          <t>Nott'm Forest</t>
        </is>
      </c>
      <c r="D192" t="n">
        <v>3</v>
      </c>
      <c r="E192" t="n">
        <v>1</v>
      </c>
    </row>
    <row r="193">
      <c r="A193" t="inlineStr">
        <is>
          <t>03/01/2026</t>
        </is>
      </c>
      <c r="B193" t="inlineStr">
        <is>
          <t>Brighton</t>
        </is>
      </c>
      <c r="C193" t="inlineStr">
        <is>
          <t>Burnley</t>
        </is>
      </c>
      <c r="D193" t="n">
        <v>2</v>
      </c>
      <c r="E193" t="n">
        <v>0</v>
      </c>
    </row>
    <row r="194">
      <c r="A194" t="inlineStr">
        <is>
          <t>03/01/2026</t>
        </is>
      </c>
      <c r="B194" t="inlineStr">
        <is>
          <t>Wolves</t>
        </is>
      </c>
      <c r="C194" t="inlineStr">
        <is>
          <t>West Ham</t>
        </is>
      </c>
      <c r="D194" t="n">
        <v>3</v>
      </c>
      <c r="E194" t="n">
        <v>0</v>
      </c>
    </row>
    <row r="195">
      <c r="A195" t="inlineStr">
        <is>
          <t>03/01/2026</t>
        </is>
      </c>
      <c r="B195" t="inlineStr">
        <is>
          <t>Bournemouth</t>
        </is>
      </c>
      <c r="C195" t="inlineStr">
        <is>
          <t>Arsenal</t>
        </is>
      </c>
      <c r="D195" t="n">
        <v>2</v>
      </c>
      <c r="E195" t="n">
        <v>3</v>
      </c>
    </row>
    <row r="196">
      <c r="A196" t="inlineStr">
        <is>
          <t>04/01/2026</t>
        </is>
      </c>
      <c r="B196" t="inlineStr">
        <is>
          <t>Leeds</t>
        </is>
      </c>
      <c r="C196" t="inlineStr">
        <is>
          <t>Man United</t>
        </is>
      </c>
      <c r="D196" t="n">
        <v>1</v>
      </c>
      <c r="E196" t="n">
        <v>1</v>
      </c>
    </row>
    <row r="197">
      <c r="A197" t="inlineStr">
        <is>
          <t>04/01/2026</t>
        </is>
      </c>
      <c r="B197" t="inlineStr">
        <is>
          <t>Everton</t>
        </is>
      </c>
      <c r="C197" t="inlineStr">
        <is>
          <t>Brentford</t>
        </is>
      </c>
      <c r="D197" t="n">
        <v>2</v>
      </c>
      <c r="E197" t="n">
        <v>4</v>
      </c>
    </row>
    <row r="198">
      <c r="A198" t="inlineStr">
        <is>
          <t>04/01/2026</t>
        </is>
      </c>
      <c r="B198" t="inlineStr">
        <is>
          <t>Newcastle</t>
        </is>
      </c>
      <c r="C198" t="inlineStr">
        <is>
          <t>Crystal Palace</t>
        </is>
      </c>
      <c r="D198" t="n">
        <v>2</v>
      </c>
      <c r="E198" t="n">
        <v>0</v>
      </c>
    </row>
    <row r="199">
      <c r="A199" t="inlineStr">
        <is>
          <t>04/01/2026</t>
        </is>
      </c>
      <c r="B199" t="inlineStr">
        <is>
          <t>Tottenham</t>
        </is>
      </c>
      <c r="C199" t="inlineStr">
        <is>
          <t>Sunderland</t>
        </is>
      </c>
      <c r="D199" t="n">
        <v>1</v>
      </c>
      <c r="E199" t="n">
        <v>1</v>
      </c>
    </row>
    <row r="200">
      <c r="A200" t="inlineStr">
        <is>
          <t>04/01/2026</t>
        </is>
      </c>
      <c r="B200" t="inlineStr">
        <is>
          <t>Fulham</t>
        </is>
      </c>
      <c r="C200" t="inlineStr">
        <is>
          <t>Liverpool</t>
        </is>
      </c>
      <c r="D200" t="n">
        <v>2</v>
      </c>
      <c r="E200" t="n">
        <v>2</v>
      </c>
    </row>
    <row r="201">
      <c r="A201" t="inlineStr">
        <is>
          <t>04/01/2026</t>
        </is>
      </c>
      <c r="B201" t="inlineStr">
        <is>
          <t>Man City</t>
        </is>
      </c>
      <c r="C201" t="inlineStr">
        <is>
          <t>Chelsea</t>
        </is>
      </c>
      <c r="D201" t="n">
        <v>1</v>
      </c>
      <c r="E201" t="n">
        <v>1</v>
      </c>
    </row>
    <row r="202">
      <c r="A202" t="inlineStr">
        <is>
          <t>06/01/2026</t>
        </is>
      </c>
      <c r="B202" t="inlineStr">
        <is>
          <t>West Ham</t>
        </is>
      </c>
      <c r="C202" t="inlineStr">
        <is>
          <t>Nott'm Forest</t>
        </is>
      </c>
      <c r="D202" t="n">
        <v>1</v>
      </c>
      <c r="E202" t="n">
        <v>2</v>
      </c>
    </row>
    <row r="203">
      <c r="A203" t="inlineStr">
        <is>
          <t>07/01/2026</t>
        </is>
      </c>
      <c r="B203" t="inlineStr">
        <is>
          <t>Bournemouth</t>
        </is>
      </c>
      <c r="C203" t="inlineStr">
        <is>
          <t>Tottenham</t>
        </is>
      </c>
      <c r="D203" t="n">
        <v>3</v>
      </c>
      <c r="E203" t="n">
        <v>2</v>
      </c>
    </row>
    <row r="204">
      <c r="A204" t="inlineStr">
        <is>
          <t>07/01/2026</t>
        </is>
      </c>
      <c r="B204" t="inlineStr">
        <is>
          <t>Brentford</t>
        </is>
      </c>
      <c r="C204" t="inlineStr">
        <is>
          <t>Sunderland</t>
        </is>
      </c>
      <c r="D204" t="n">
        <v>3</v>
      </c>
      <c r="E204" t="n">
        <v>0</v>
      </c>
    </row>
    <row r="205">
      <c r="A205" t="inlineStr">
        <is>
          <t>07/01/2026</t>
        </is>
      </c>
      <c r="B205" t="inlineStr">
        <is>
          <t>Crystal Palace</t>
        </is>
      </c>
      <c r="C205" t="inlineStr">
        <is>
          <t>Aston Villa</t>
        </is>
      </c>
      <c r="D205" t="n">
        <v>0</v>
      </c>
      <c r="E205" t="n">
        <v>0</v>
      </c>
    </row>
    <row r="206">
      <c r="A206" t="inlineStr">
        <is>
          <t>07/01/2026</t>
        </is>
      </c>
      <c r="B206" t="inlineStr">
        <is>
          <t>Everton</t>
        </is>
      </c>
      <c r="C206" t="inlineStr">
        <is>
          <t>Wolves</t>
        </is>
      </c>
      <c r="D206" t="n">
        <v>1</v>
      </c>
      <c r="E206" t="n">
        <v>1</v>
      </c>
    </row>
    <row r="207">
      <c r="A207" t="inlineStr">
        <is>
          <t>07/01/2026</t>
        </is>
      </c>
      <c r="B207" t="inlineStr">
        <is>
          <t>Fulham</t>
        </is>
      </c>
      <c r="C207" t="inlineStr">
        <is>
          <t>Chelsea</t>
        </is>
      </c>
      <c r="D207" t="n">
        <v>2</v>
      </c>
      <c r="E207" t="n">
        <v>1</v>
      </c>
    </row>
    <row r="208">
      <c r="A208" t="inlineStr">
        <is>
          <t>07/01/2026</t>
        </is>
      </c>
      <c r="B208" t="inlineStr">
        <is>
          <t>Man City</t>
        </is>
      </c>
      <c r="C208" t="inlineStr">
        <is>
          <t>Brighton</t>
        </is>
      </c>
      <c r="D208" t="n">
        <v>1</v>
      </c>
      <c r="E208" t="n">
        <v>1</v>
      </c>
    </row>
    <row r="209">
      <c r="A209" t="inlineStr">
        <is>
          <t>07/01/2026</t>
        </is>
      </c>
      <c r="B209" t="inlineStr">
        <is>
          <t>Burnley</t>
        </is>
      </c>
      <c r="C209" t="inlineStr">
        <is>
          <t>Man United</t>
        </is>
      </c>
      <c r="D209" t="n">
        <v>2</v>
      </c>
      <c r="E209" t="n">
        <v>2</v>
      </c>
    </row>
    <row r="210">
      <c r="A210" t="inlineStr">
        <is>
          <t>07/01/2026</t>
        </is>
      </c>
      <c r="B210" t="inlineStr">
        <is>
          <t>Newcastle</t>
        </is>
      </c>
      <c r="C210" t="inlineStr">
        <is>
          <t>Leeds</t>
        </is>
      </c>
      <c r="D210" t="n">
        <v>4</v>
      </c>
      <c r="E210" t="n">
        <v>3</v>
      </c>
    </row>
    <row r="211">
      <c r="A211" t="inlineStr">
        <is>
          <t>08/01/2026</t>
        </is>
      </c>
      <c r="B211" t="inlineStr">
        <is>
          <t>Arsenal</t>
        </is>
      </c>
      <c r="C211" t="inlineStr">
        <is>
          <t>Liverpool</t>
        </is>
      </c>
      <c r="D211" t="n">
        <v>0</v>
      </c>
      <c r="E211" t="n">
        <v>0</v>
      </c>
    </row>
    <row r="212">
      <c r="A212" t="inlineStr">
        <is>
          <t>17/01/2026</t>
        </is>
      </c>
      <c r="B212" t="inlineStr">
        <is>
          <t>Man United</t>
        </is>
      </c>
      <c r="C212" t="inlineStr">
        <is>
          <t>Man City</t>
        </is>
      </c>
      <c r="D212" t="n">
        <v>2</v>
      </c>
      <c r="E212" t="n">
        <v>0</v>
      </c>
    </row>
    <row r="213">
      <c r="A213" t="inlineStr">
        <is>
          <t>17/01/2026</t>
        </is>
      </c>
      <c r="B213" t="inlineStr">
        <is>
          <t>Chelsea</t>
        </is>
      </c>
      <c r="C213" t="inlineStr">
        <is>
          <t>Brentford</t>
        </is>
      </c>
      <c r="D213" t="n">
        <v>2</v>
      </c>
      <c r="E213" t="n">
        <v>0</v>
      </c>
    </row>
    <row r="214">
      <c r="A214" t="inlineStr">
        <is>
          <t>17/01/2026</t>
        </is>
      </c>
      <c r="B214" t="inlineStr">
        <is>
          <t>Leeds</t>
        </is>
      </c>
      <c r="C214" t="inlineStr">
        <is>
          <t>Fulham</t>
        </is>
      </c>
      <c r="D214" t="n">
        <v>1</v>
      </c>
      <c r="E214" t="n">
        <v>0</v>
      </c>
    </row>
    <row r="215">
      <c r="A215" t="inlineStr">
        <is>
          <t>17/01/2026</t>
        </is>
      </c>
      <c r="B215" t="inlineStr">
        <is>
          <t>Liverpool</t>
        </is>
      </c>
      <c r="C215" t="inlineStr">
        <is>
          <t>Burnley</t>
        </is>
      </c>
      <c r="D215" t="n">
        <v>1</v>
      </c>
      <c r="E215" t="n">
        <v>1</v>
      </c>
    </row>
    <row r="216">
      <c r="A216" t="inlineStr">
        <is>
          <t>17/01/2026</t>
        </is>
      </c>
      <c r="B216" t="inlineStr">
        <is>
          <t>Sunderland</t>
        </is>
      </c>
      <c r="C216" t="inlineStr">
        <is>
          <t>Crystal Palace</t>
        </is>
      </c>
      <c r="D216" t="n">
        <v>2</v>
      </c>
      <c r="E216" t="n">
        <v>1</v>
      </c>
    </row>
    <row r="217">
      <c r="A217" t="inlineStr">
        <is>
          <t>17/01/2026</t>
        </is>
      </c>
      <c r="B217" t="inlineStr">
        <is>
          <t>Tottenham</t>
        </is>
      </c>
      <c r="C217" t="inlineStr">
        <is>
          <t>West Ham</t>
        </is>
      </c>
      <c r="D217" t="n">
        <v>1</v>
      </c>
      <c r="E217" t="n">
        <v>2</v>
      </c>
    </row>
    <row r="218">
      <c r="A218" t="inlineStr">
        <is>
          <t>17/01/2026</t>
        </is>
      </c>
      <c r="B218" t="inlineStr">
        <is>
          <t>Nott'm Forest</t>
        </is>
      </c>
      <c r="C218" t="inlineStr">
        <is>
          <t>Arsenal</t>
        </is>
      </c>
      <c r="D218" t="n">
        <v>0</v>
      </c>
      <c r="E218" t="n">
        <v>0</v>
      </c>
    </row>
    <row r="219">
      <c r="A219" t="inlineStr">
        <is>
          <t>18/01/2026</t>
        </is>
      </c>
      <c r="B219" t="inlineStr">
        <is>
          <t>Wolves</t>
        </is>
      </c>
      <c r="C219" t="inlineStr">
        <is>
          <t>Newcastle</t>
        </is>
      </c>
      <c r="D219" t="n">
        <v>0</v>
      </c>
      <c r="E219" t="n">
        <v>0</v>
      </c>
    </row>
    <row r="220">
      <c r="A220" t="inlineStr">
        <is>
          <t>18/01/2026</t>
        </is>
      </c>
      <c r="B220" t="inlineStr">
        <is>
          <t>Aston Villa</t>
        </is>
      </c>
      <c r="C220" t="inlineStr">
        <is>
          <t>Everton</t>
        </is>
      </c>
      <c r="D220" t="n">
        <v>0</v>
      </c>
      <c r="E220" t="n">
        <v>1</v>
      </c>
    </row>
    <row r="221">
      <c r="A221" t="inlineStr">
        <is>
          <t>19/01/2026</t>
        </is>
      </c>
      <c r="B221" t="inlineStr">
        <is>
          <t>Brighton</t>
        </is>
      </c>
      <c r="C221" t="inlineStr">
        <is>
          <t>Bournemouth</t>
        </is>
      </c>
      <c r="D221" t="n">
        <v>1</v>
      </c>
      <c r="E221" t="n">
        <v>1</v>
      </c>
    </row>
    <row r="222">
      <c r="A222" t="inlineStr">
        <is>
          <t>24/01/2026</t>
        </is>
      </c>
      <c r="B222" t="inlineStr">
        <is>
          <t>West Ham</t>
        </is>
      </c>
      <c r="C222" t="inlineStr">
        <is>
          <t>Sunderland</t>
        </is>
      </c>
      <c r="D222" t="n">
        <v>3</v>
      </c>
      <c r="E222" t="n">
        <v>1</v>
      </c>
    </row>
    <row r="223">
      <c r="A223" t="inlineStr">
        <is>
          <t>24/01/2026</t>
        </is>
      </c>
      <c r="B223" t="inlineStr">
        <is>
          <t>Burnley</t>
        </is>
      </c>
      <c r="C223" t="inlineStr">
        <is>
          <t>Tottenham</t>
        </is>
      </c>
      <c r="D223" t="n">
        <v>2</v>
      </c>
      <c r="E223" t="n">
        <v>2</v>
      </c>
    </row>
    <row r="224">
      <c r="A224" t="inlineStr">
        <is>
          <t>24/01/2026</t>
        </is>
      </c>
      <c r="B224" t="inlineStr">
        <is>
          <t>Fulham</t>
        </is>
      </c>
      <c r="C224" t="inlineStr">
        <is>
          <t>Brighton</t>
        </is>
      </c>
      <c r="D224" t="n">
        <v>2</v>
      </c>
      <c r="E224" t="n">
        <v>1</v>
      </c>
    </row>
    <row r="225">
      <c r="A225" t="inlineStr">
        <is>
          <t>24/01/2026</t>
        </is>
      </c>
      <c r="B225" t="inlineStr">
        <is>
          <t>Man City</t>
        </is>
      </c>
      <c r="C225" t="inlineStr">
        <is>
          <t>Wolves</t>
        </is>
      </c>
      <c r="D225" t="n">
        <v>2</v>
      </c>
      <c r="E225" t="n">
        <v>0</v>
      </c>
    </row>
    <row r="226">
      <c r="A226" t="inlineStr">
        <is>
          <t>24/01/2026</t>
        </is>
      </c>
      <c r="B226" t="inlineStr">
        <is>
          <t>Bournemouth</t>
        </is>
      </c>
      <c r="C226" t="inlineStr">
        <is>
          <t>Liverpool</t>
        </is>
      </c>
      <c r="D226" t="n">
        <v>3</v>
      </c>
      <c r="E226" t="n">
        <v>2</v>
      </c>
    </row>
    <row r="227">
      <c r="A227" t="inlineStr">
        <is>
          <t>25/01/2026</t>
        </is>
      </c>
      <c r="B227" t="inlineStr">
        <is>
          <t>Brentford</t>
        </is>
      </c>
      <c r="C227" t="inlineStr">
        <is>
          <t>Nott'm Forest</t>
        </is>
      </c>
      <c r="D227" t="n">
        <v>0</v>
      </c>
      <c r="E227" t="n">
        <v>2</v>
      </c>
    </row>
    <row r="228">
      <c r="A228" t="inlineStr">
        <is>
          <t>25/01/2026</t>
        </is>
      </c>
      <c r="B228" t="inlineStr">
        <is>
          <t>Crystal Palace</t>
        </is>
      </c>
      <c r="C228" t="inlineStr">
        <is>
          <t>Chelsea</t>
        </is>
      </c>
      <c r="D228" t="n">
        <v>1</v>
      </c>
      <c r="E228" t="n">
        <v>3</v>
      </c>
    </row>
    <row r="229">
      <c r="A229" t="inlineStr">
        <is>
          <t>25/01/2026</t>
        </is>
      </c>
      <c r="B229" t="inlineStr">
        <is>
          <t>Newcastle</t>
        </is>
      </c>
      <c r="C229" t="inlineStr">
        <is>
          <t>Aston Villa</t>
        </is>
      </c>
      <c r="D229" t="n">
        <v>0</v>
      </c>
      <c r="E229" t="n">
        <v>2</v>
      </c>
    </row>
    <row r="230">
      <c r="A230" t="inlineStr">
        <is>
          <t>25/01/2026</t>
        </is>
      </c>
      <c r="B230" t="inlineStr">
        <is>
          <t>Arsenal</t>
        </is>
      </c>
      <c r="C230" t="inlineStr">
        <is>
          <t>Man United</t>
        </is>
      </c>
      <c r="D230" t="n">
        <v>2</v>
      </c>
      <c r="E230" t="n">
        <v>3</v>
      </c>
    </row>
    <row r="231">
      <c r="A231" t="inlineStr">
        <is>
          <t>26/01/2026</t>
        </is>
      </c>
      <c r="B231" t="inlineStr">
        <is>
          <t>Everton</t>
        </is>
      </c>
      <c r="C231" t="inlineStr">
        <is>
          <t>Leeds</t>
        </is>
      </c>
      <c r="D231" t="n">
        <v>1</v>
      </c>
      <c r="E231" t="n">
        <v>1</v>
      </c>
    </row>
    <row r="232">
      <c r="A232" t="inlineStr">
        <is>
          <t>31/01/2026</t>
        </is>
      </c>
      <c r="B232" t="inlineStr">
        <is>
          <t>Brighton</t>
        </is>
      </c>
      <c r="C232" t="inlineStr">
        <is>
          <t>Everton</t>
        </is>
      </c>
      <c r="D232" t="n">
        <v>1</v>
      </c>
      <c r="E232" t="n">
        <v>1</v>
      </c>
    </row>
    <row r="233">
      <c r="A233" t="inlineStr">
        <is>
          <t>31/01/2026</t>
        </is>
      </c>
      <c r="B233" t="inlineStr">
        <is>
          <t>Leeds</t>
        </is>
      </c>
      <c r="C233" t="inlineStr">
        <is>
          <t>Arsenal</t>
        </is>
      </c>
      <c r="D233" t="n">
        <v>0</v>
      </c>
      <c r="E233" t="n">
        <v>4</v>
      </c>
    </row>
    <row r="234">
      <c r="A234" t="inlineStr">
        <is>
          <t>31/01/2026</t>
        </is>
      </c>
      <c r="B234" t="inlineStr">
        <is>
          <t>Wolves</t>
        </is>
      </c>
      <c r="C234" t="inlineStr">
        <is>
          <t>Bournemouth</t>
        </is>
      </c>
      <c r="D234" t="n">
        <v>0</v>
      </c>
      <c r="E234" t="n">
        <v>2</v>
      </c>
    </row>
    <row r="235">
      <c r="A235" t="inlineStr">
        <is>
          <t>31/01/2026</t>
        </is>
      </c>
      <c r="B235" t="inlineStr">
        <is>
          <t>Chelsea</t>
        </is>
      </c>
      <c r="C235" t="inlineStr">
        <is>
          <t>West Ham</t>
        </is>
      </c>
      <c r="D235" t="n">
        <v>3</v>
      </c>
      <c r="E235" t="n">
        <v>2</v>
      </c>
    </row>
    <row r="236">
      <c r="A236" t="inlineStr">
        <is>
          <t>31/01/2026</t>
        </is>
      </c>
      <c r="B236" t="inlineStr">
        <is>
          <t>Liverpool</t>
        </is>
      </c>
      <c r="C236" t="inlineStr">
        <is>
          <t>Newcastle</t>
        </is>
      </c>
      <c r="D236" t="n">
        <v>4</v>
      </c>
      <c r="E236" t="n">
        <v>1</v>
      </c>
    </row>
    <row r="237">
      <c r="A237" t="inlineStr">
        <is>
          <t>01/02/2026</t>
        </is>
      </c>
      <c r="B237" t="inlineStr">
        <is>
          <t>Aston Villa</t>
        </is>
      </c>
      <c r="C237" t="inlineStr">
        <is>
          <t>Brentford</t>
        </is>
      </c>
      <c r="D237" t="n">
        <v>0</v>
      </c>
      <c r="E237" t="n">
        <v>1</v>
      </c>
    </row>
    <row r="238">
      <c r="A238" t="inlineStr">
        <is>
          <t>01/02/2026</t>
        </is>
      </c>
      <c r="B238" t="inlineStr">
        <is>
          <t>Man United</t>
        </is>
      </c>
      <c r="C238" t="inlineStr">
        <is>
          <t>Fulham</t>
        </is>
      </c>
      <c r="D238" t="n">
        <v>3</v>
      </c>
      <c r="E238" t="n">
        <v>2</v>
      </c>
    </row>
    <row r="239">
      <c r="A239" t="inlineStr">
        <is>
          <t>01/02/2026</t>
        </is>
      </c>
      <c r="B239" t="inlineStr">
        <is>
          <t>Nott'm Forest</t>
        </is>
      </c>
      <c r="C239" t="inlineStr">
        <is>
          <t>Crystal Palace</t>
        </is>
      </c>
      <c r="D239" t="n">
        <v>1</v>
      </c>
      <c r="E239" t="n">
        <v>1</v>
      </c>
    </row>
    <row r="240">
      <c r="A240" t="inlineStr">
        <is>
          <t>01/02/2026</t>
        </is>
      </c>
      <c r="B240" t="inlineStr">
        <is>
          <t>Tottenham</t>
        </is>
      </c>
      <c r="C240" t="inlineStr">
        <is>
          <t>Man City</t>
        </is>
      </c>
      <c r="D240" t="n">
        <v>2</v>
      </c>
      <c r="E240" t="n">
        <v>2</v>
      </c>
    </row>
    <row r="241">
      <c r="A241" t="inlineStr">
        <is>
          <t>02/02/2026</t>
        </is>
      </c>
      <c r="B241" t="inlineStr">
        <is>
          <t>Sunderland</t>
        </is>
      </c>
      <c r="C241" t="inlineStr">
        <is>
          <t>Burnley</t>
        </is>
      </c>
      <c r="D241" t="n">
        <v>3</v>
      </c>
      <c r="E241" t="n">
        <v>0</v>
      </c>
    </row>
    <row r="242">
      <c r="A242" t="inlineStr">
        <is>
          <t>06/02/2026</t>
        </is>
      </c>
      <c r="B242" t="inlineStr">
        <is>
          <t>Leeds</t>
        </is>
      </c>
      <c r="C242" t="inlineStr">
        <is>
          <t>Nott'm Forest</t>
        </is>
      </c>
      <c r="D242" t="n">
        <v>3</v>
      </c>
      <c r="E242" t="n">
        <v>1</v>
      </c>
    </row>
    <row r="243">
      <c r="A243" t="inlineStr">
        <is>
          <t>07/02/2026</t>
        </is>
      </c>
      <c r="B243" t="inlineStr">
        <is>
          <t>Man United</t>
        </is>
      </c>
      <c r="C243" t="inlineStr">
        <is>
          <t>Tottenham</t>
        </is>
      </c>
      <c r="D243" t="n">
        <v>2</v>
      </c>
      <c r="E243" t="n">
        <v>0</v>
      </c>
    </row>
    <row r="244">
      <c r="A244" t="inlineStr">
        <is>
          <t>07/02/2026</t>
        </is>
      </c>
      <c r="B244" t="inlineStr">
        <is>
          <t>Arsenal</t>
        </is>
      </c>
      <c r="C244" t="inlineStr">
        <is>
          <t>Sunderland</t>
        </is>
      </c>
      <c r="D244" t="n">
        <v>3</v>
      </c>
      <c r="E244" t="n">
        <v>0</v>
      </c>
    </row>
    <row r="245">
      <c r="A245" t="inlineStr">
        <is>
          <t>07/02/2026</t>
        </is>
      </c>
      <c r="B245" t="inlineStr">
        <is>
          <t>Bournemouth</t>
        </is>
      </c>
      <c r="C245" t="inlineStr">
        <is>
          <t>Aston Villa</t>
        </is>
      </c>
      <c r="D245" t="n">
        <v>1</v>
      </c>
      <c r="E245" t="n">
        <v>1</v>
      </c>
    </row>
    <row r="246">
      <c r="A246" t="inlineStr">
        <is>
          <t>07/02/2026</t>
        </is>
      </c>
      <c r="B246" t="inlineStr">
        <is>
          <t>Burnley</t>
        </is>
      </c>
      <c r="C246" t="inlineStr">
        <is>
          <t>West Ham</t>
        </is>
      </c>
      <c r="D246" t="n">
        <v>0</v>
      </c>
      <c r="E246" t="n">
        <v>2</v>
      </c>
    </row>
    <row r="247">
      <c r="A247" t="inlineStr">
        <is>
          <t>07/02/2026</t>
        </is>
      </c>
      <c r="B247" t="inlineStr">
        <is>
          <t>Fulham</t>
        </is>
      </c>
      <c r="C247" t="inlineStr">
        <is>
          <t>Everton</t>
        </is>
      </c>
      <c r="D247" t="n">
        <v>1</v>
      </c>
      <c r="E247" t="n">
        <v>2</v>
      </c>
    </row>
    <row r="248">
      <c r="A248" t="inlineStr">
        <is>
          <t>07/02/2026</t>
        </is>
      </c>
      <c r="B248" t="inlineStr">
        <is>
          <t>Wolves</t>
        </is>
      </c>
      <c r="C248" t="inlineStr">
        <is>
          <t>Chelsea</t>
        </is>
      </c>
      <c r="D248" t="n">
        <v>1</v>
      </c>
      <c r="E248" t="n">
        <v>3</v>
      </c>
    </row>
    <row r="249">
      <c r="A249" t="inlineStr">
        <is>
          <t>07/02/2026</t>
        </is>
      </c>
      <c r="B249" t="inlineStr">
        <is>
          <t>Newcastle</t>
        </is>
      </c>
      <c r="C249" t="inlineStr">
        <is>
          <t>Brentford</t>
        </is>
      </c>
      <c r="D249" t="n">
        <v>2</v>
      </c>
      <c r="E249" t="n">
        <v>3</v>
      </c>
    </row>
    <row r="250">
      <c r="A250" t="inlineStr">
        <is>
          <t>08/02/2026</t>
        </is>
      </c>
      <c r="B250" t="inlineStr">
        <is>
          <t>Brighton</t>
        </is>
      </c>
      <c r="C250" t="inlineStr">
        <is>
          <t>Crystal Palace</t>
        </is>
      </c>
      <c r="D250" t="n">
        <v>0</v>
      </c>
      <c r="E250" t="n">
        <v>1</v>
      </c>
    </row>
    <row r="251">
      <c r="A251" t="inlineStr">
        <is>
          <t>08/02/2026</t>
        </is>
      </c>
      <c r="B251" t="inlineStr">
        <is>
          <t>Liverpool</t>
        </is>
      </c>
      <c r="C251" t="inlineStr">
        <is>
          <t>Man City</t>
        </is>
      </c>
      <c r="D251" t="n">
        <v>1</v>
      </c>
      <c r="E251" t="n">
        <v>2</v>
      </c>
    </row>
    <row r="252">
      <c r="A252" t="inlineStr">
        <is>
          <t>10/02/2026</t>
        </is>
      </c>
      <c r="B252" t="inlineStr">
        <is>
          <t>Chelsea</t>
        </is>
      </c>
      <c r="C252" t="inlineStr">
        <is>
          <t>Leeds</t>
        </is>
      </c>
      <c r="D252" t="n">
        <v>2</v>
      </c>
      <c r="E252" t="n">
        <v>2</v>
      </c>
    </row>
    <row r="253">
      <c r="A253" t="inlineStr">
        <is>
          <t>10/02/2026</t>
        </is>
      </c>
      <c r="B253" t="inlineStr">
        <is>
          <t>Everton</t>
        </is>
      </c>
      <c r="C253" t="inlineStr">
        <is>
          <t>Bournemouth</t>
        </is>
      </c>
      <c r="D253" t="n">
        <v>1</v>
      </c>
      <c r="E253" t="n">
        <v>2</v>
      </c>
    </row>
    <row r="254">
      <c r="A254" t="inlineStr">
        <is>
          <t>10/02/2026</t>
        </is>
      </c>
      <c r="B254" t="inlineStr">
        <is>
          <t>Tottenham</t>
        </is>
      </c>
      <c r="C254" t="inlineStr">
        <is>
          <t>Newcastle</t>
        </is>
      </c>
      <c r="D254" t="n">
        <v>1</v>
      </c>
      <c r="E254" t="n">
        <v>2</v>
      </c>
    </row>
    <row r="255">
      <c r="A255" t="inlineStr">
        <is>
          <t>10/02/2026</t>
        </is>
      </c>
      <c r="B255" t="inlineStr">
        <is>
          <t>West Ham</t>
        </is>
      </c>
      <c r="C255" t="inlineStr">
        <is>
          <t>Man United</t>
        </is>
      </c>
      <c r="D255" t="n">
        <v>1</v>
      </c>
      <c r="E255" t="n">
        <v>1</v>
      </c>
    </row>
    <row r="256">
      <c r="A256" t="inlineStr">
        <is>
          <t>11/02/2026</t>
        </is>
      </c>
      <c r="B256" t="inlineStr">
        <is>
          <t>Aston Villa</t>
        </is>
      </c>
      <c r="C256" t="inlineStr">
        <is>
          <t>Brighton</t>
        </is>
      </c>
      <c r="D256" t="n">
        <v>1</v>
      </c>
      <c r="E256" t="n">
        <v>0</v>
      </c>
    </row>
    <row r="257">
      <c r="A257" t="inlineStr">
        <is>
          <t>11/02/2026</t>
        </is>
      </c>
      <c r="B257" t="inlineStr">
        <is>
          <t>Crystal Palace</t>
        </is>
      </c>
      <c r="C257" t="inlineStr">
        <is>
          <t>Burnley</t>
        </is>
      </c>
      <c r="D257" t="n">
        <v>2</v>
      </c>
      <c r="E257" t="n">
        <v>3</v>
      </c>
    </row>
    <row r="258">
      <c r="A258" t="inlineStr">
        <is>
          <t>11/02/2026</t>
        </is>
      </c>
      <c r="B258" t="inlineStr">
        <is>
          <t>Man City</t>
        </is>
      </c>
      <c r="C258" t="inlineStr">
        <is>
          <t>Fulham</t>
        </is>
      </c>
      <c r="D258" t="n">
        <v>3</v>
      </c>
      <c r="E258" t="n">
        <v>0</v>
      </c>
    </row>
    <row r="259">
      <c r="A259" t="inlineStr">
        <is>
          <t>11/02/2026</t>
        </is>
      </c>
      <c r="B259" t="inlineStr">
        <is>
          <t>Nott'm Forest</t>
        </is>
      </c>
      <c r="C259" t="inlineStr">
        <is>
          <t>Wolves</t>
        </is>
      </c>
      <c r="D259" t="n">
        <v>0</v>
      </c>
      <c r="E259" t="n">
        <v>0</v>
      </c>
    </row>
    <row r="260">
      <c r="A260" t="inlineStr">
        <is>
          <t>11/02/2026</t>
        </is>
      </c>
      <c r="B260" t="inlineStr">
        <is>
          <t>Sunderland</t>
        </is>
      </c>
      <c r="C260" t="inlineStr">
        <is>
          <t>Liverpool</t>
        </is>
      </c>
      <c r="D260" t="n">
        <v>0</v>
      </c>
      <c r="E260" t="n">
        <v>1</v>
      </c>
    </row>
    <row r="261">
      <c r="A261" t="inlineStr">
        <is>
          <t>12/02/2026</t>
        </is>
      </c>
      <c r="B261" t="inlineStr">
        <is>
          <t>Brentford</t>
        </is>
      </c>
      <c r="C261" t="inlineStr">
        <is>
          <t>Arsenal</t>
        </is>
      </c>
      <c r="D261" t="n">
        <v>1</v>
      </c>
      <c r="E261" t="n">
        <v>1</v>
      </c>
    </row>
    <row r="262">
      <c r="A262" t="inlineStr">
        <is>
          <t>18/02/2026</t>
        </is>
      </c>
      <c r="B262" t="inlineStr">
        <is>
          <t>Wolves</t>
        </is>
      </c>
      <c r="C262" t="inlineStr">
        <is>
          <t>Arsenal</t>
        </is>
      </c>
      <c r="D262" t="n">
        <v>2</v>
      </c>
      <c r="E262" t="n">
        <v>2</v>
      </c>
    </row>
    <row r="263">
      <c r="A263" t="inlineStr">
        <is>
          <t>21/02/2026</t>
        </is>
      </c>
      <c r="B263" t="inlineStr">
        <is>
          <t>Aston Villa</t>
        </is>
      </c>
      <c r="C263" t="inlineStr">
        <is>
          <t>Leeds</t>
        </is>
      </c>
      <c r="D263" t="n">
        <v>1</v>
      </c>
      <c r="E263" t="n">
        <v>1</v>
      </c>
    </row>
    <row r="264">
      <c r="A264" t="inlineStr">
        <is>
          <t>21/02/2026</t>
        </is>
      </c>
      <c r="B264" t="inlineStr">
        <is>
          <t>Brentford</t>
        </is>
      </c>
      <c r="C264" t="inlineStr">
        <is>
          <t>Brighton</t>
        </is>
      </c>
      <c r="D264" t="n">
        <v>0</v>
      </c>
      <c r="E264" t="n">
        <v>2</v>
      </c>
    </row>
    <row r="265">
      <c r="A265" t="inlineStr">
        <is>
          <t>21/02/2026</t>
        </is>
      </c>
      <c r="B265" t="inlineStr">
        <is>
          <t>Chelsea</t>
        </is>
      </c>
      <c r="C265" t="inlineStr">
        <is>
          <t>Burnley</t>
        </is>
      </c>
      <c r="D265" t="n">
        <v>1</v>
      </c>
      <c r="E265" t="n">
        <v>1</v>
      </c>
    </row>
    <row r="266">
      <c r="A266" t="inlineStr">
        <is>
          <t>21/02/2026</t>
        </is>
      </c>
      <c r="B266" t="inlineStr">
        <is>
          <t>West Ham</t>
        </is>
      </c>
      <c r="C266" t="inlineStr">
        <is>
          <t>Bournemouth</t>
        </is>
      </c>
      <c r="D266" t="n">
        <v>0</v>
      </c>
      <c r="E266" t="n">
        <v>0</v>
      </c>
    </row>
    <row r="267">
      <c r="A267" t="inlineStr">
        <is>
          <t>21/02/2026</t>
        </is>
      </c>
      <c r="B267" t="inlineStr">
        <is>
          <t>Man City</t>
        </is>
      </c>
      <c r="C267" t="inlineStr">
        <is>
          <t>Newcastle</t>
        </is>
      </c>
      <c r="D267" t="n">
        <v>2</v>
      </c>
      <c r="E267" t="n">
        <v>1</v>
      </c>
    </row>
    <row r="268">
      <c r="A268" t="inlineStr">
        <is>
          <t>22/02/2026</t>
        </is>
      </c>
      <c r="B268" t="inlineStr">
        <is>
          <t>Crystal Palace</t>
        </is>
      </c>
      <c r="C268" t="inlineStr">
        <is>
          <t>Wolves</t>
        </is>
      </c>
      <c r="D268" t="n">
        <v>1</v>
      </c>
      <c r="E268" t="n">
        <v>0</v>
      </c>
    </row>
    <row r="269">
      <c r="A269" t="inlineStr">
        <is>
          <t>22/02/2026</t>
        </is>
      </c>
      <c r="B269" t="inlineStr">
        <is>
          <t>Nott'm Forest</t>
        </is>
      </c>
      <c r="C269" t="inlineStr">
        <is>
          <t>Liverpool</t>
        </is>
      </c>
      <c r="D269" t="n">
        <v>0</v>
      </c>
      <c r="E269" t="n">
        <v>1</v>
      </c>
    </row>
    <row r="270">
      <c r="A270" t="inlineStr">
        <is>
          <t>22/02/2026</t>
        </is>
      </c>
      <c r="B270" t="inlineStr">
        <is>
          <t>Sunderland</t>
        </is>
      </c>
      <c r="C270" t="inlineStr">
        <is>
          <t>Fulham</t>
        </is>
      </c>
      <c r="D270" t="n">
        <v>1</v>
      </c>
      <c r="E270" t="n">
        <v>3</v>
      </c>
    </row>
    <row r="271">
      <c r="A271" t="inlineStr">
        <is>
          <t>22/02/2026</t>
        </is>
      </c>
      <c r="B271" t="inlineStr">
        <is>
          <t>Tottenham</t>
        </is>
      </c>
      <c r="C271" t="inlineStr">
        <is>
          <t>Arsenal</t>
        </is>
      </c>
      <c r="D271" t="n">
        <v>1</v>
      </c>
      <c r="E271" t="n">
        <v>4</v>
      </c>
    </row>
    <row r="272">
      <c r="A272" t="inlineStr">
        <is>
          <t>23/02/2026</t>
        </is>
      </c>
      <c r="B272" t="inlineStr">
        <is>
          <t>Everton</t>
        </is>
      </c>
      <c r="C272" t="inlineStr">
        <is>
          <t>Man United</t>
        </is>
      </c>
      <c r="D272" t="n">
        <v>0</v>
      </c>
      <c r="E272" t="n">
        <v>1</v>
      </c>
    </row>
    <row r="273">
      <c r="A273" t="inlineStr">
        <is>
          <t>27/02/2026</t>
        </is>
      </c>
      <c r="B273" t="inlineStr">
        <is>
          <t>Wolves</t>
        </is>
      </c>
      <c r="C273" t="inlineStr">
        <is>
          <t>Aston Villa</t>
        </is>
      </c>
      <c r="D273" t="n">
        <v>2</v>
      </c>
      <c r="E273" t="n">
        <v>0</v>
      </c>
    </row>
    <row r="274">
      <c r="A274" t="inlineStr">
        <is>
          <t>28/02/2026</t>
        </is>
      </c>
      <c r="B274" t="inlineStr">
        <is>
          <t>Bournemouth</t>
        </is>
      </c>
      <c r="C274" t="inlineStr">
        <is>
          <t>Sunderland</t>
        </is>
      </c>
      <c r="D274" t="n">
        <v>1</v>
      </c>
      <c r="E274" t="n">
        <v>1</v>
      </c>
    </row>
    <row r="275">
      <c r="A275" t="inlineStr">
        <is>
          <t>28/02/2026</t>
        </is>
      </c>
      <c r="B275" t="inlineStr">
        <is>
          <t>Burnley</t>
        </is>
      </c>
      <c r="C275" t="inlineStr">
        <is>
          <t>Brentford</t>
        </is>
      </c>
      <c r="D275" t="n">
        <v>3</v>
      </c>
      <c r="E275" t="n">
        <v>4</v>
      </c>
    </row>
    <row r="276">
      <c r="A276" t="inlineStr">
        <is>
          <t>28/02/2026</t>
        </is>
      </c>
      <c r="B276" t="inlineStr">
        <is>
          <t>Liverpool</t>
        </is>
      </c>
      <c r="C276" t="inlineStr">
        <is>
          <t>West Ham</t>
        </is>
      </c>
      <c r="D276" t="n">
        <v>5</v>
      </c>
      <c r="E276" t="n">
        <v>2</v>
      </c>
    </row>
    <row r="277">
      <c r="A277" t="inlineStr">
        <is>
          <t>28/02/2026</t>
        </is>
      </c>
      <c r="B277" t="inlineStr">
        <is>
          <t>Newcastle</t>
        </is>
      </c>
      <c r="C277" t="inlineStr">
        <is>
          <t>Everton</t>
        </is>
      </c>
      <c r="D277" t="n">
        <v>2</v>
      </c>
      <c r="E277" t="n">
        <v>3</v>
      </c>
    </row>
    <row r="278">
      <c r="A278" t="inlineStr">
        <is>
          <t>28/02/2026</t>
        </is>
      </c>
      <c r="B278" t="inlineStr">
        <is>
          <t>Leeds</t>
        </is>
      </c>
      <c r="C278" t="inlineStr">
        <is>
          <t>Man City</t>
        </is>
      </c>
      <c r="D278" t="n">
        <v>0</v>
      </c>
      <c r="E278" t="n">
        <v>1</v>
      </c>
    </row>
    <row r="279">
      <c r="A279" t="inlineStr">
        <is>
          <t>01/03/2026</t>
        </is>
      </c>
      <c r="B279" t="inlineStr">
        <is>
          <t>Brighton</t>
        </is>
      </c>
      <c r="C279" t="inlineStr">
        <is>
          <t>Nott'm Forest</t>
        </is>
      </c>
      <c r="D279" t="n">
        <v>2</v>
      </c>
      <c r="E279" t="n">
        <v>1</v>
      </c>
    </row>
    <row r="280">
      <c r="A280" t="inlineStr">
        <is>
          <t>01/03/2026</t>
        </is>
      </c>
      <c r="B280" t="inlineStr">
        <is>
          <t>Fulham</t>
        </is>
      </c>
      <c r="C280" t="inlineStr">
        <is>
          <t>Tottenham</t>
        </is>
      </c>
      <c r="D280" t="n">
        <v>2</v>
      </c>
      <c r="E280" t="n">
        <v>1</v>
      </c>
    </row>
    <row r="281">
      <c r="A281" t="inlineStr">
        <is>
          <t>01/03/2026</t>
        </is>
      </c>
      <c r="B281" t="inlineStr">
        <is>
          <t>Man United</t>
        </is>
      </c>
      <c r="C281" t="inlineStr">
        <is>
          <t>Crystal Palace</t>
        </is>
      </c>
      <c r="D281" t="n">
        <v>2</v>
      </c>
      <c r="E281" t="n">
        <v>1</v>
      </c>
    </row>
    <row r="282">
      <c r="A282" t="inlineStr">
        <is>
          <t>01/03/2026</t>
        </is>
      </c>
      <c r="B282" t="inlineStr">
        <is>
          <t>Arsenal</t>
        </is>
      </c>
      <c r="C282" t="inlineStr">
        <is>
          <t>Chelsea</t>
        </is>
      </c>
      <c r="D282" t="n">
        <v>2</v>
      </c>
      <c r="E282" t="n">
        <v>1</v>
      </c>
    </row>
    <row r="283">
      <c r="A283" t="inlineStr">
        <is>
          <t>03/03/2026</t>
        </is>
      </c>
      <c r="B283" t="inlineStr">
        <is>
          <t>Bournemouth</t>
        </is>
      </c>
      <c r="C283" t="inlineStr">
        <is>
          <t>Brentford</t>
        </is>
      </c>
      <c r="D283" t="n">
        <v>0</v>
      </c>
      <c r="E283" t="n">
        <v>0</v>
      </c>
    </row>
    <row r="284">
      <c r="A284" t="inlineStr">
        <is>
          <t>03/03/2026</t>
        </is>
      </c>
      <c r="B284" t="inlineStr">
        <is>
          <t>Everton</t>
        </is>
      </c>
      <c r="C284" t="inlineStr">
        <is>
          <t>Burnley</t>
        </is>
      </c>
      <c r="D284" t="n">
        <v>2</v>
      </c>
      <c r="E284" t="n">
        <v>0</v>
      </c>
    </row>
    <row r="285">
      <c r="A285" t="inlineStr">
        <is>
          <t>03/03/2026</t>
        </is>
      </c>
      <c r="B285" t="inlineStr">
        <is>
          <t>Leeds</t>
        </is>
      </c>
      <c r="C285" t="inlineStr">
        <is>
          <t>Sunderland</t>
        </is>
      </c>
      <c r="D285" t="n">
        <v>0</v>
      </c>
      <c r="E285" t="n">
        <v>1</v>
      </c>
    </row>
    <row r="286">
      <c r="A286" t="inlineStr">
        <is>
          <t>03/03/2026</t>
        </is>
      </c>
      <c r="B286" t="inlineStr">
        <is>
          <t>Wolves</t>
        </is>
      </c>
      <c r="C286" t="inlineStr">
        <is>
          <t>Liverpool</t>
        </is>
      </c>
      <c r="D286" t="n">
        <v>2</v>
      </c>
      <c r="E286" t="n">
        <v>1</v>
      </c>
    </row>
    <row r="287">
      <c r="A287" t="inlineStr">
        <is>
          <t>04/03/2026</t>
        </is>
      </c>
      <c r="B287" t="inlineStr">
        <is>
          <t>Aston Villa</t>
        </is>
      </c>
      <c r="C287" t="inlineStr">
        <is>
          <t>Chelsea</t>
        </is>
      </c>
      <c r="D287" t="n">
        <v>1</v>
      </c>
      <c r="E287" t="n">
        <v>4</v>
      </c>
    </row>
    <row r="288">
      <c r="A288" t="inlineStr">
        <is>
          <t>04/03/2026</t>
        </is>
      </c>
      <c r="B288" t="inlineStr">
        <is>
          <t>Brighton</t>
        </is>
      </c>
      <c r="C288" t="inlineStr">
        <is>
          <t>Arsenal</t>
        </is>
      </c>
      <c r="D288" t="n">
        <v>0</v>
      </c>
      <c r="E288" t="n">
        <v>1</v>
      </c>
    </row>
    <row r="289">
      <c r="A289" t="inlineStr">
        <is>
          <t>04/03/2026</t>
        </is>
      </c>
      <c r="B289" t="inlineStr">
        <is>
          <t>Fulham</t>
        </is>
      </c>
      <c r="C289" t="inlineStr">
        <is>
          <t>West Ham</t>
        </is>
      </c>
      <c r="D289" t="n">
        <v>0</v>
      </c>
      <c r="E289" t="n">
        <v>1</v>
      </c>
    </row>
    <row r="290">
      <c r="A290" t="inlineStr">
        <is>
          <t>04/03/2026</t>
        </is>
      </c>
      <c r="B290" t="inlineStr">
        <is>
          <t>Man City</t>
        </is>
      </c>
      <c r="C290" t="inlineStr">
        <is>
          <t>Nott'm Forest</t>
        </is>
      </c>
      <c r="D290" t="n">
        <v>2</v>
      </c>
      <c r="E290" t="n">
        <v>2</v>
      </c>
    </row>
    <row r="291">
      <c r="A291" t="inlineStr">
        <is>
          <t>04/03/2026</t>
        </is>
      </c>
      <c r="B291" t="inlineStr">
        <is>
          <t>Newcastle</t>
        </is>
      </c>
      <c r="C291" t="inlineStr">
        <is>
          <t>Man United</t>
        </is>
      </c>
      <c r="D291" t="n">
        <v>2</v>
      </c>
      <c r="E291" t="n">
        <v>1</v>
      </c>
    </row>
    <row r="292">
      <c r="A292" t="inlineStr">
        <is>
          <t>05/03/2026</t>
        </is>
      </c>
      <c r="B292" t="inlineStr">
        <is>
          <t>Tottenham</t>
        </is>
      </c>
      <c r="C292" t="inlineStr">
        <is>
          <t>Crystal Palace</t>
        </is>
      </c>
      <c r="D292" t="n">
        <v>1</v>
      </c>
      <c r="E29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2026-03-15T17:04:15Z</dcterms:created>
  <dcterms:modified xmlns:dcterms="http://purl.org/dc/terms/" xmlns:xsi="http://www.w3.org/2001/XMLSchema-instance" xsi:type="dcterms:W3CDTF">2026-03-15T17:04:15Z</dcterms:modified>
</cp:coreProperties>
</file>