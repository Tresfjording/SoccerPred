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ØyvindGranberg\.git\SoccerPred\"/>
    </mc:Choice>
  </mc:AlternateContent>
  <xr:revisionPtr revIDLastSave="0" documentId="13_ncr:1_{ED25E1E8-A137-427D-9738-AA555CE21D01}" xr6:coauthVersionLast="47" xr6:coauthVersionMax="47" xr10:uidLastSave="{00000000-0000-0000-0000-000000000000}"/>
  <bookViews>
    <workbookView xWindow="3660" yWindow="2250" windowWidth="24840" windowHeight="13695" activeTab="2" xr2:uid="{00000000-000D-0000-FFFF-FFFF00000000}"/>
  </bookViews>
  <sheets>
    <sheet name="RawData" sheetId="1" r:id="rId1"/>
    <sheet name="TeamStats" sheetId="2" r:id="rId2"/>
    <sheet name="Kampanalyse" sheetId="3" r:id="rId3"/>
    <sheet name="Tabell" sheetId="4" r:id="rId4"/>
    <sheet name="LiveTabell" sheetId="5" r:id="rId5"/>
    <sheet name="Kamp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G21" i="4"/>
  <c r="F21" i="4"/>
  <c r="E21" i="4"/>
  <c r="D21" i="4"/>
  <c r="I21" i="4" s="1"/>
  <c r="J21" i="4" s="1"/>
  <c r="C21" i="4"/>
  <c r="H20" i="4"/>
  <c r="G20" i="4"/>
  <c r="F20" i="4"/>
  <c r="E20" i="4"/>
  <c r="C20" i="4" s="1"/>
  <c r="D20" i="4"/>
  <c r="I20" i="4" s="1"/>
  <c r="J20" i="4" s="1"/>
  <c r="H19" i="4"/>
  <c r="G19" i="4"/>
  <c r="F19" i="4"/>
  <c r="E19" i="4"/>
  <c r="D19" i="4"/>
  <c r="C19" i="4" s="1"/>
  <c r="H18" i="4"/>
  <c r="G18" i="4"/>
  <c r="F18" i="4"/>
  <c r="E18" i="4"/>
  <c r="D18" i="4"/>
  <c r="C18" i="4" s="1"/>
  <c r="I17" i="4"/>
  <c r="J17" i="4" s="1"/>
  <c r="H17" i="4"/>
  <c r="G17" i="4"/>
  <c r="F17" i="4"/>
  <c r="E17" i="4"/>
  <c r="D17" i="4"/>
  <c r="C17" i="4" s="1"/>
  <c r="H16" i="4"/>
  <c r="G16" i="4"/>
  <c r="F16" i="4"/>
  <c r="E16" i="4"/>
  <c r="C16" i="4" s="1"/>
  <c r="D16" i="4"/>
  <c r="I16" i="4" s="1"/>
  <c r="J16" i="4" s="1"/>
  <c r="H15" i="4"/>
  <c r="G15" i="4"/>
  <c r="F15" i="4"/>
  <c r="E15" i="4"/>
  <c r="D15" i="4"/>
  <c r="I15" i="4" s="1"/>
  <c r="J15" i="4" s="1"/>
  <c r="C15" i="4"/>
  <c r="H14" i="4"/>
  <c r="G14" i="4"/>
  <c r="F14" i="4"/>
  <c r="E14" i="4"/>
  <c r="D14" i="4"/>
  <c r="C14" i="4" s="1"/>
  <c r="I13" i="4"/>
  <c r="J13" i="4" s="1"/>
  <c r="H13" i="4"/>
  <c r="G13" i="4"/>
  <c r="F13" i="4"/>
  <c r="E13" i="4"/>
  <c r="D13" i="4"/>
  <c r="C13" i="4" s="1"/>
  <c r="H12" i="4"/>
  <c r="G12" i="4"/>
  <c r="F12" i="4"/>
  <c r="E12" i="4"/>
  <c r="C12" i="4" s="1"/>
  <c r="D12" i="4"/>
  <c r="I12" i="4" s="1"/>
  <c r="J12" i="4" s="1"/>
  <c r="H11" i="4"/>
  <c r="G11" i="4"/>
  <c r="F11" i="4"/>
  <c r="E11" i="4"/>
  <c r="D11" i="4"/>
  <c r="I11" i="4" s="1"/>
  <c r="J11" i="4" s="1"/>
  <c r="C11" i="4"/>
  <c r="H10" i="4"/>
  <c r="G10" i="4"/>
  <c r="F10" i="4"/>
  <c r="E10" i="4"/>
  <c r="D10" i="4"/>
  <c r="C10" i="4" s="1"/>
  <c r="I9" i="4"/>
  <c r="J9" i="4" s="1"/>
  <c r="H9" i="4"/>
  <c r="G9" i="4"/>
  <c r="F9" i="4"/>
  <c r="E9" i="4"/>
  <c r="D9" i="4"/>
  <c r="C9" i="4" s="1"/>
  <c r="H8" i="4"/>
  <c r="G8" i="4"/>
  <c r="F8" i="4"/>
  <c r="E8" i="4"/>
  <c r="C8" i="4" s="1"/>
  <c r="D8" i="4"/>
  <c r="I8" i="4" s="1"/>
  <c r="J8" i="4" s="1"/>
  <c r="H7" i="4"/>
  <c r="G7" i="4"/>
  <c r="F7" i="4"/>
  <c r="E7" i="4"/>
  <c r="D7" i="4"/>
  <c r="I7" i="4" s="1"/>
  <c r="J7" i="4" s="1"/>
  <c r="C7" i="4"/>
  <c r="H6" i="4"/>
  <c r="G6" i="4"/>
  <c r="F6" i="4"/>
  <c r="E6" i="4"/>
  <c r="D6" i="4"/>
  <c r="C6" i="4" s="1"/>
  <c r="I5" i="4"/>
  <c r="J5" i="4" s="1"/>
  <c r="H5" i="4"/>
  <c r="G5" i="4"/>
  <c r="F5" i="4"/>
  <c r="E5" i="4"/>
  <c r="D5" i="4"/>
  <c r="C5" i="4" s="1"/>
  <c r="H4" i="4"/>
  <c r="G4" i="4"/>
  <c r="F4" i="4"/>
  <c r="E4" i="4"/>
  <c r="C4" i="4" s="1"/>
  <c r="D4" i="4"/>
  <c r="I4" i="4" s="1"/>
  <c r="J4" i="4" s="1"/>
  <c r="H3" i="4"/>
  <c r="G3" i="4"/>
  <c r="F3" i="4"/>
  <c r="E3" i="4"/>
  <c r="D3" i="4"/>
  <c r="C3" i="4" s="1"/>
  <c r="H2" i="4"/>
  <c r="G2" i="4"/>
  <c r="F2" i="4"/>
  <c r="E2" i="4"/>
  <c r="D2" i="4"/>
  <c r="C2" i="4" s="1"/>
  <c r="C12" i="3"/>
  <c r="B12" i="3"/>
  <c r="C11" i="3"/>
  <c r="B11" i="3"/>
  <c r="C10" i="3"/>
  <c r="B10" i="3"/>
  <c r="C9" i="3"/>
  <c r="B9" i="3"/>
  <c r="D9" i="3" s="1"/>
  <c r="C8" i="3"/>
  <c r="B8" i="3"/>
  <c r="D8" i="3" s="1"/>
  <c r="C7" i="3"/>
  <c r="B7" i="3"/>
  <c r="D7" i="3" s="1"/>
  <c r="C6" i="3"/>
  <c r="B6" i="3"/>
  <c r="B4" i="3"/>
  <c r="D10" i="3" l="1"/>
  <c r="D11" i="3"/>
  <c r="D6" i="3"/>
  <c r="D12" i="3"/>
  <c r="A12" i="4"/>
  <c r="A5" i="4"/>
  <c r="A8" i="4"/>
  <c r="A4" i="4"/>
  <c r="I3" i="4"/>
  <c r="J3" i="4" s="1"/>
  <c r="I19" i="4"/>
  <c r="J19" i="4" s="1"/>
  <c r="I6" i="4"/>
  <c r="J6" i="4" s="1"/>
  <c r="I10" i="4"/>
  <c r="J10" i="4" s="1"/>
  <c r="I14" i="4"/>
  <c r="J14" i="4" s="1"/>
  <c r="I18" i="4"/>
  <c r="J18" i="4" s="1"/>
  <c r="I2" i="4"/>
  <c r="J2" i="4" s="1"/>
  <c r="A2" i="4" s="1"/>
  <c r="E5" i="5" l="1"/>
  <c r="E2" i="5"/>
  <c r="D8" i="5"/>
  <c r="D2" i="5"/>
  <c r="C2" i="5"/>
  <c r="F15" i="5"/>
  <c r="B2" i="5"/>
  <c r="B3" i="5"/>
  <c r="I5" i="5"/>
  <c r="E4" i="5"/>
  <c r="I2" i="5"/>
  <c r="H5" i="5"/>
  <c r="H2" i="5"/>
  <c r="G8" i="5"/>
  <c r="C7" i="5"/>
  <c r="G2" i="5"/>
  <c r="B10" i="5"/>
  <c r="F8" i="5"/>
  <c r="F2" i="5"/>
  <c r="A16" i="4"/>
  <c r="A14" i="4"/>
  <c r="A7" i="4"/>
  <c r="B14" i="5" s="1"/>
  <c r="A6" i="4"/>
  <c r="A20" i="4"/>
  <c r="A3" i="4"/>
  <c r="I21" i="5" s="1"/>
  <c r="A21" i="4"/>
  <c r="A18" i="4"/>
  <c r="A13" i="4"/>
  <c r="A10" i="4"/>
  <c r="A17" i="4"/>
  <c r="A19" i="4"/>
  <c r="A11" i="4"/>
  <c r="A15" i="4"/>
  <c r="A9" i="4"/>
  <c r="G19" i="5" l="1"/>
  <c r="C11" i="5"/>
  <c r="C10" i="5"/>
  <c r="E7" i="5"/>
  <c r="G4" i="5"/>
  <c r="D3" i="5"/>
  <c r="D21" i="5"/>
  <c r="B17" i="5"/>
  <c r="C14" i="5"/>
  <c r="D11" i="5"/>
  <c r="E8" i="5"/>
  <c r="B13" i="5"/>
  <c r="G11" i="5"/>
  <c r="D10" i="5"/>
  <c r="I8" i="5"/>
  <c r="F7" i="5"/>
  <c r="C6" i="5"/>
  <c r="H4" i="5"/>
  <c r="E3" i="5"/>
  <c r="E21" i="5"/>
  <c r="F18" i="5"/>
  <c r="G15" i="5"/>
  <c r="H12" i="5"/>
  <c r="I9" i="5"/>
  <c r="D7" i="5"/>
  <c r="H19" i="5"/>
  <c r="I6" i="5"/>
  <c r="F11" i="5"/>
  <c r="H8" i="5"/>
  <c r="B6" i="5"/>
  <c r="I19" i="5"/>
  <c r="F14" i="5"/>
  <c r="C13" i="5"/>
  <c r="H11" i="5"/>
  <c r="E10" i="5"/>
  <c r="B9" i="5"/>
  <c r="G7" i="5"/>
  <c r="D6" i="5"/>
  <c r="I4" i="5"/>
  <c r="B20" i="5"/>
  <c r="C17" i="5"/>
  <c r="D14" i="5"/>
  <c r="E11" i="5"/>
  <c r="C21" i="5"/>
  <c r="H9" i="5"/>
  <c r="I15" i="5"/>
  <c r="D18" i="5"/>
  <c r="C3" i="5"/>
  <c r="E18" i="5"/>
  <c r="G14" i="5"/>
  <c r="F10" i="5"/>
  <c r="F3" i="5"/>
  <c r="H15" i="5"/>
  <c r="F17" i="5"/>
  <c r="D9" i="5"/>
  <c r="I14" i="5"/>
  <c r="G3" i="5"/>
  <c r="F20" i="5"/>
  <c r="C19" i="5"/>
  <c r="H17" i="5"/>
  <c r="E16" i="5"/>
  <c r="B15" i="5"/>
  <c r="G13" i="5"/>
  <c r="D12" i="5"/>
  <c r="I10" i="5"/>
  <c r="B8" i="5"/>
  <c r="C5" i="5"/>
  <c r="D20" i="5"/>
  <c r="E17" i="5"/>
  <c r="I11" i="5"/>
  <c r="E6" i="5"/>
  <c r="F21" i="5"/>
  <c r="I12" i="5"/>
  <c r="C16" i="5"/>
  <c r="B12" i="5"/>
  <c r="B5" i="5"/>
  <c r="E14" i="5"/>
  <c r="G17" i="5"/>
  <c r="F13" i="5"/>
  <c r="H10" i="5"/>
  <c r="E9" i="5"/>
  <c r="H18" i="5"/>
  <c r="B4" i="5"/>
  <c r="G20" i="5"/>
  <c r="D19" i="5"/>
  <c r="F16" i="5"/>
  <c r="C15" i="5"/>
  <c r="H13" i="5"/>
  <c r="E12" i="5"/>
  <c r="F9" i="5"/>
  <c r="G6" i="5"/>
  <c r="H3" i="5"/>
  <c r="H21" i="5"/>
  <c r="I18" i="5"/>
  <c r="F4" i="5"/>
  <c r="G12" i="5"/>
  <c r="C9" i="5"/>
  <c r="E13" i="5"/>
  <c r="I7" i="5"/>
  <c r="D17" i="5"/>
  <c r="B19" i="5"/>
  <c r="C12" i="5"/>
  <c r="G21" i="5"/>
  <c r="F5" i="5"/>
  <c r="C4" i="5"/>
  <c r="H20" i="5"/>
  <c r="E19" i="5"/>
  <c r="B18" i="5"/>
  <c r="G16" i="5"/>
  <c r="D15" i="5"/>
  <c r="I13" i="5"/>
  <c r="B11" i="5"/>
  <c r="C8" i="5"/>
  <c r="D5" i="5"/>
  <c r="E20" i="5"/>
  <c r="B21" i="5"/>
  <c r="I16" i="5"/>
  <c r="B16" i="5"/>
  <c r="D13" i="5"/>
  <c r="H7" i="5"/>
  <c r="G18" i="5"/>
  <c r="H14" i="5"/>
  <c r="G10" i="5"/>
  <c r="C20" i="5"/>
  <c r="D16" i="5"/>
  <c r="F6" i="5"/>
  <c r="I17" i="5"/>
  <c r="B7" i="5"/>
  <c r="G5" i="5"/>
  <c r="D4" i="5"/>
  <c r="I20" i="5"/>
  <c r="F19" i="5"/>
  <c r="C18" i="5"/>
  <c r="H16" i="5"/>
  <c r="E15" i="5"/>
  <c r="F12" i="5"/>
  <c r="G9" i="5"/>
  <c r="H6" i="5"/>
  <c r="I3" i="5"/>
</calcChain>
</file>

<file path=xl/sharedStrings.xml><?xml version="1.0" encoding="utf-8"?>
<sst xmlns="http://schemas.openxmlformats.org/spreadsheetml/2006/main" count="1028" uniqueCount="186">
  <si>
    <t>Year</t>
  </si>
  <si>
    <t>Host</t>
  </si>
  <si>
    <t>Player</t>
  </si>
  <si>
    <t>Country</t>
  </si>
  <si>
    <t>Goals</t>
  </si>
  <si>
    <t>Uruguay</t>
  </si>
  <si>
    <t>Guillermo Stábile</t>
  </si>
  <si>
    <t>Argentina</t>
  </si>
  <si>
    <t>Italy</t>
  </si>
  <si>
    <t>Oldřich Nejedlý</t>
  </si>
  <si>
    <t>Czechoslovakia</t>
  </si>
  <si>
    <t>France</t>
  </si>
  <si>
    <t>Leônidas</t>
  </si>
  <si>
    <t>Brazil</t>
  </si>
  <si>
    <t>Ademir</t>
  </si>
  <si>
    <t>Switzerland</t>
  </si>
  <si>
    <t>Sándor Kocsis</t>
  </si>
  <si>
    <t>Hungary</t>
  </si>
  <si>
    <t>Sweden</t>
  </si>
  <si>
    <t>Just Fontaine</t>
  </si>
  <si>
    <t>Chile</t>
  </si>
  <si>
    <t>Garrincha / Vavá / Others</t>
  </si>
  <si>
    <t>Multiple</t>
  </si>
  <si>
    <t>England</t>
  </si>
  <si>
    <t>Eusébio</t>
  </si>
  <si>
    <t>Portugal</t>
  </si>
  <si>
    <t>Mexico</t>
  </si>
  <si>
    <t>Gerd Müller</t>
  </si>
  <si>
    <t>West Germany</t>
  </si>
  <si>
    <t>Grzegorz Lato</t>
  </si>
  <si>
    <t>Poland</t>
  </si>
  <si>
    <t>Mario Kempes</t>
  </si>
  <si>
    <t>Spain</t>
  </si>
  <si>
    <t>Paolo Rossi</t>
  </si>
  <si>
    <t>Gary Lineker</t>
  </si>
  <si>
    <t>Salvatore Schillaci</t>
  </si>
  <si>
    <t>United States</t>
  </si>
  <si>
    <t>Oleg Salenko / Hristo Stoichkov</t>
  </si>
  <si>
    <t>Russia / Bulgaria</t>
  </si>
  <si>
    <t>Davor Šuker</t>
  </si>
  <si>
    <t>Croatia</t>
  </si>
  <si>
    <t>South Korea / Japan</t>
  </si>
  <si>
    <t>Ronaldo</t>
  </si>
  <si>
    <t>Germany</t>
  </si>
  <si>
    <t>Miroslav Klose</t>
  </si>
  <si>
    <t>South Africa</t>
  </si>
  <si>
    <t>Thomas Müller</t>
  </si>
  <si>
    <t>James Rodríguez</t>
  </si>
  <si>
    <t>Colombia</t>
  </si>
  <si>
    <t>Russia</t>
  </si>
  <si>
    <t>Harry Kane</t>
  </si>
  <si>
    <t>Qatar</t>
  </si>
  <si>
    <t>Kylian Mbappé</t>
  </si>
  <si>
    <t>Team</t>
  </si>
  <si>
    <t>Entries</t>
  </si>
  <si>
    <t>UniquePlayers</t>
  </si>
  <si>
    <t>TotalGoals</t>
  </si>
  <si>
    <t>AvgGoals</t>
  </si>
  <si>
    <t>MaxGoals</t>
  </si>
  <si>
    <t>FirstYear</t>
  </si>
  <si>
    <t>LastYear</t>
  </si>
  <si>
    <t>Kampanalyse</t>
  </si>
  <si>
    <t>Hjemmelag</t>
  </si>
  <si>
    <t>Bortelag</t>
  </si>
  <si>
    <t>Tips</t>
  </si>
  <si>
    <t>Statistikk</t>
  </si>
  <si>
    <t>Hjemme</t>
  </si>
  <si>
    <t>Borte</t>
  </si>
  <si>
    <t>Differanse</t>
  </si>
  <si>
    <t>Pos</t>
  </si>
  <si>
    <t>MP</t>
  </si>
  <si>
    <t>W</t>
  </si>
  <si>
    <t>D</t>
  </si>
  <si>
    <t>L</t>
  </si>
  <si>
    <t>GF</t>
  </si>
  <si>
    <t>GA</t>
  </si>
  <si>
    <t>Pts</t>
  </si>
  <si>
    <t>SortKey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</si>
  <si>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</si>
  <si>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</si>
  <si>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</si>
  <si>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</si>
  <si>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</si>
  <si>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</si>
  <si>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</si>
  <si>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</si>
  <si>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</si>
  <si>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</si>
  <si>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</t>
  </si>
  <si>
    <t>Liverpool</t>
  </si>
  <si>
    <t>Man City</t>
  </si>
  <si>
    <t>Man United</t>
  </si>
  <si>
    <t>Newcastle</t>
  </si>
  <si>
    <t>Nott'm Forest</t>
  </si>
  <si>
    <t>Sunderland</t>
  </si>
  <si>
    <t>Tottenham</t>
  </si>
  <si>
    <t>West Ham</t>
  </si>
  <si>
    <t>Wolves</t>
  </si>
  <si>
    <t>Date</t>
  </si>
  <si>
    <t>HomeTeam</t>
  </si>
  <si>
    <t>AwayTeam</t>
  </si>
  <si>
    <t>HomeGoals</t>
  </si>
  <si>
    <t>AwayGoals</t>
  </si>
  <si>
    <t>15/08/2025</t>
  </si>
  <si>
    <t>16/08/2025</t>
  </si>
  <si>
    <t>17/08/2025</t>
  </si>
  <si>
    <t>18/08/2025</t>
  </si>
  <si>
    <t>22/08/2025</t>
  </si>
  <si>
    <t>23/08/2025</t>
  </si>
  <si>
    <t>24/08/2025</t>
  </si>
  <si>
    <t>25/08/2025</t>
  </si>
  <si>
    <t>30/08/2025</t>
  </si>
  <si>
    <t>31/08/2025</t>
  </si>
  <si>
    <t>13/09/2025</t>
  </si>
  <si>
    <t>14/09/2025</t>
  </si>
  <si>
    <t>20/09/2025</t>
  </si>
  <si>
    <t>21/09/2025</t>
  </si>
  <si>
    <t>27/09/2025</t>
  </si>
  <si>
    <t>28/09/2025</t>
  </si>
  <si>
    <t>29/09/2025</t>
  </si>
  <si>
    <t>03/10/2025</t>
  </si>
  <si>
    <t>04/10/2025</t>
  </si>
  <si>
    <t>05/10/2025</t>
  </si>
  <si>
    <t>18/10/2025</t>
  </si>
  <si>
    <t>19/10/2025</t>
  </si>
  <si>
    <t>20/10/2025</t>
  </si>
  <si>
    <t>24/10/2025</t>
  </si>
  <si>
    <t>25/10/2025</t>
  </si>
  <si>
    <t>26/10/2025</t>
  </si>
  <si>
    <t>01/11/2025</t>
  </si>
  <si>
    <t>02/11/2025</t>
  </si>
  <si>
    <t>03/11/2025</t>
  </si>
  <si>
    <t>08/11/2025</t>
  </si>
  <si>
    <t>09/11/2025</t>
  </si>
  <si>
    <t>22/11/2025</t>
  </si>
  <si>
    <t>23/11/2025</t>
  </si>
  <si>
    <t>24/11/2025</t>
  </si>
  <si>
    <t>29/11/2025</t>
  </si>
  <si>
    <t>30/11/2025</t>
  </si>
  <si>
    <t>02/12/2025</t>
  </si>
  <si>
    <t>03/12/2025</t>
  </si>
  <si>
    <t>04/12/2025</t>
  </si>
  <si>
    <t>06/12/2025</t>
  </si>
  <si>
    <t>07/12/2025</t>
  </si>
  <si>
    <t>08/12/2025</t>
  </si>
  <si>
    <t>13/12/2025</t>
  </si>
  <si>
    <t>14/12/2025</t>
  </si>
  <si>
    <t>15/12/2025</t>
  </si>
  <si>
    <t>20/12/2025</t>
  </si>
  <si>
    <t>21/12/2025</t>
  </si>
  <si>
    <t>22/12/2025</t>
  </si>
  <si>
    <t>26/12/2025</t>
  </si>
  <si>
    <t>27/12/2025</t>
  </si>
  <si>
    <t>28/12/2025</t>
  </si>
  <si>
    <t>30/12/2025</t>
  </si>
  <si>
    <t>01/01/2026</t>
  </si>
  <si>
    <t>03/01/2026</t>
  </si>
  <si>
    <t>04/01/2026</t>
  </si>
  <si>
    <t>06/01/2026</t>
  </si>
  <si>
    <t>07/01/2026</t>
  </si>
  <si>
    <t>08/01/2026</t>
  </si>
  <si>
    <t>17/01/2026</t>
  </si>
  <si>
    <t>18/01/2026</t>
  </si>
  <si>
    <t>19/01/2026</t>
  </si>
  <si>
    <t>24/01/2026</t>
  </si>
  <si>
    <t>25/01/2026</t>
  </si>
  <si>
    <t>26/01/2026</t>
  </si>
  <si>
    <t>31/01/2026</t>
  </si>
  <si>
    <t>01/02/2026</t>
  </si>
  <si>
    <t>02/02/2026</t>
  </si>
  <si>
    <t>06/02/2026</t>
  </si>
  <si>
    <t>07/02/2026</t>
  </si>
  <si>
    <t>08/02/2026</t>
  </si>
  <si>
    <t>10/02/2026</t>
  </si>
  <si>
    <t>11/02/2026</t>
  </si>
  <si>
    <t>12/02/2026</t>
  </si>
  <si>
    <t>18/02/2026</t>
  </si>
  <si>
    <t>21/02/2026</t>
  </si>
  <si>
    <t>22/02/2026</t>
  </si>
  <si>
    <t>23/02/2026</t>
  </si>
  <si>
    <t>27/02/2026</t>
  </si>
  <si>
    <t>28/02/2026</t>
  </si>
  <si>
    <t>01/03/2026</t>
  </si>
  <si>
    <t>03/03/2026</t>
  </si>
  <si>
    <t>04/03/2026</t>
  </si>
  <si>
    <t>05/03/2026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</si>
</sst>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baseColWidth="10" defaultColWidth="9.140625" defaultRowHeight="15" x14ac:dyDescent="0.25"/>
  <cols>
    <col min="1" max="1" width="10" customWidth="1"/>
    <col min="2" max="2" width="21" customWidth="1"/>
    <col min="3" max="3" width="33" customWidth="1"/>
    <col min="4" max="4" width="19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1930</v>
      </c>
      <c r="B2" t="s">
        <v>5</v>
      </c>
      <c r="C2" t="s">
        <v>6</v>
      </c>
      <c r="D2" t="s">
        <v>7</v>
      </c>
      <c r="E2">
        <v>8</v>
      </c>
    </row>
    <row r="3" spans="1:5" x14ac:dyDescent="0.25">
      <c r="A3">
        <v>1934</v>
      </c>
      <c r="B3" t="s">
        <v>8</v>
      </c>
      <c r="C3" t="s">
        <v>9</v>
      </c>
      <c r="D3" t="s">
        <v>10</v>
      </c>
      <c r="E3">
        <v>5</v>
      </c>
    </row>
    <row r="4" spans="1:5" x14ac:dyDescent="0.25">
      <c r="A4">
        <v>1938</v>
      </c>
      <c r="B4" t="s">
        <v>11</v>
      </c>
      <c r="C4" t="s">
        <v>12</v>
      </c>
      <c r="D4" t="s">
        <v>13</v>
      </c>
      <c r="E4">
        <v>7</v>
      </c>
    </row>
    <row r="5" spans="1:5" x14ac:dyDescent="0.25">
      <c r="A5">
        <v>1950</v>
      </c>
      <c r="B5" t="s">
        <v>13</v>
      </c>
      <c r="C5" t="s">
        <v>14</v>
      </c>
      <c r="D5" t="s">
        <v>13</v>
      </c>
      <c r="E5">
        <v>8</v>
      </c>
    </row>
    <row r="6" spans="1:5" x14ac:dyDescent="0.25">
      <c r="A6">
        <v>1954</v>
      </c>
      <c r="B6" t="s">
        <v>15</v>
      </c>
      <c r="C6" t="s">
        <v>16</v>
      </c>
      <c r="D6" t="s">
        <v>17</v>
      </c>
      <c r="E6">
        <v>11</v>
      </c>
    </row>
    <row r="7" spans="1:5" x14ac:dyDescent="0.25">
      <c r="A7">
        <v>1958</v>
      </c>
      <c r="B7" t="s">
        <v>18</v>
      </c>
      <c r="C7" t="s">
        <v>19</v>
      </c>
      <c r="D7" t="s">
        <v>11</v>
      </c>
      <c r="E7">
        <v>13</v>
      </c>
    </row>
    <row r="8" spans="1:5" x14ac:dyDescent="0.25">
      <c r="A8">
        <v>1962</v>
      </c>
      <c r="B8" t="s">
        <v>20</v>
      </c>
      <c r="C8" t="s">
        <v>21</v>
      </c>
      <c r="D8" t="s">
        <v>22</v>
      </c>
      <c r="E8">
        <v>4</v>
      </c>
    </row>
    <row r="9" spans="1:5" x14ac:dyDescent="0.25">
      <c r="A9">
        <v>1966</v>
      </c>
      <c r="B9" t="s">
        <v>23</v>
      </c>
      <c r="C9" t="s">
        <v>24</v>
      </c>
      <c r="D9" t="s">
        <v>25</v>
      </c>
      <c r="E9">
        <v>9</v>
      </c>
    </row>
    <row r="10" spans="1:5" x14ac:dyDescent="0.25">
      <c r="A10">
        <v>1970</v>
      </c>
      <c r="B10" t="s">
        <v>26</v>
      </c>
      <c r="C10" t="s">
        <v>27</v>
      </c>
      <c r="D10" t="s">
        <v>28</v>
      </c>
      <c r="E10">
        <v>10</v>
      </c>
    </row>
    <row r="11" spans="1:5" x14ac:dyDescent="0.25">
      <c r="A11">
        <v>1974</v>
      </c>
      <c r="B11" t="s">
        <v>28</v>
      </c>
      <c r="C11" t="s">
        <v>29</v>
      </c>
      <c r="D11" t="s">
        <v>30</v>
      </c>
      <c r="E11">
        <v>7</v>
      </c>
    </row>
    <row r="12" spans="1:5" x14ac:dyDescent="0.25">
      <c r="A12">
        <v>1978</v>
      </c>
      <c r="B12" t="s">
        <v>7</v>
      </c>
      <c r="C12" t="s">
        <v>31</v>
      </c>
      <c r="D12" t="s">
        <v>7</v>
      </c>
      <c r="E12">
        <v>6</v>
      </c>
    </row>
    <row r="13" spans="1:5" x14ac:dyDescent="0.25">
      <c r="A13">
        <v>1982</v>
      </c>
      <c r="B13" t="s">
        <v>32</v>
      </c>
      <c r="C13" t="s">
        <v>33</v>
      </c>
      <c r="D13" t="s">
        <v>8</v>
      </c>
      <c r="E13">
        <v>6</v>
      </c>
    </row>
    <row r="14" spans="1:5" x14ac:dyDescent="0.25">
      <c r="A14">
        <v>1986</v>
      </c>
      <c r="B14" t="s">
        <v>26</v>
      </c>
      <c r="C14" t="s">
        <v>34</v>
      </c>
      <c r="D14" t="s">
        <v>23</v>
      </c>
      <c r="E14">
        <v>6</v>
      </c>
    </row>
    <row r="15" spans="1:5" x14ac:dyDescent="0.25">
      <c r="A15">
        <v>1990</v>
      </c>
      <c r="B15" t="s">
        <v>8</v>
      </c>
      <c r="C15" t="s">
        <v>35</v>
      </c>
      <c r="D15" t="s">
        <v>8</v>
      </c>
      <c r="E15">
        <v>6</v>
      </c>
    </row>
    <row r="16" spans="1:5" x14ac:dyDescent="0.25">
      <c r="A16">
        <v>1994</v>
      </c>
      <c r="B16" t="s">
        <v>36</v>
      </c>
      <c r="C16" t="s">
        <v>37</v>
      </c>
      <c r="D16" t="s">
        <v>38</v>
      </c>
      <c r="E16">
        <v>6</v>
      </c>
    </row>
    <row r="17" spans="1:5" x14ac:dyDescent="0.25">
      <c r="A17">
        <v>1998</v>
      </c>
      <c r="B17" t="s">
        <v>11</v>
      </c>
      <c r="C17" t="s">
        <v>39</v>
      </c>
      <c r="D17" t="s">
        <v>40</v>
      </c>
      <c r="E17">
        <v>6</v>
      </c>
    </row>
    <row r="18" spans="1:5" x14ac:dyDescent="0.25">
      <c r="A18">
        <v>2002</v>
      </c>
      <c r="B18" t="s">
        <v>41</v>
      </c>
      <c r="C18" t="s">
        <v>42</v>
      </c>
      <c r="D18" t="s">
        <v>13</v>
      </c>
      <c r="E18">
        <v>8</v>
      </c>
    </row>
    <row r="19" spans="1:5" x14ac:dyDescent="0.25">
      <c r="A19">
        <v>2006</v>
      </c>
      <c r="B19" t="s">
        <v>43</v>
      </c>
      <c r="C19" t="s">
        <v>44</v>
      </c>
      <c r="D19" t="s">
        <v>43</v>
      </c>
      <c r="E19">
        <v>5</v>
      </c>
    </row>
    <row r="20" spans="1:5" x14ac:dyDescent="0.25">
      <c r="A20">
        <v>2010</v>
      </c>
      <c r="B20" t="s">
        <v>45</v>
      </c>
      <c r="C20" t="s">
        <v>46</v>
      </c>
      <c r="D20" t="s">
        <v>43</v>
      </c>
      <c r="E20">
        <v>5</v>
      </c>
    </row>
    <row r="21" spans="1:5" x14ac:dyDescent="0.25">
      <c r="A21">
        <v>2014</v>
      </c>
      <c r="B21" t="s">
        <v>13</v>
      </c>
      <c r="C21" t="s">
        <v>47</v>
      </c>
      <c r="D21" t="s">
        <v>48</v>
      </c>
      <c r="E21">
        <v>6</v>
      </c>
    </row>
    <row r="22" spans="1:5" x14ac:dyDescent="0.25">
      <c r="A22">
        <v>2018</v>
      </c>
      <c r="B22" t="s">
        <v>49</v>
      </c>
      <c r="C22" t="s">
        <v>50</v>
      </c>
      <c r="D22" t="s">
        <v>23</v>
      </c>
      <c r="E22">
        <v>6</v>
      </c>
    </row>
    <row r="23" spans="1:5" x14ac:dyDescent="0.25">
      <c r="A23">
        <v>2022</v>
      </c>
      <c r="B23" t="s">
        <v>51</v>
      </c>
      <c r="C23" t="s">
        <v>52</v>
      </c>
      <c r="D23" t="s">
        <v>11</v>
      </c>
      <c r="E23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ColWidth="9.140625" defaultRowHeight="15" x14ac:dyDescent="0.25"/>
  <cols>
    <col min="1" max="1" width="19" customWidth="1"/>
    <col min="2" max="2" width="10" customWidth="1"/>
    <col min="3" max="3" width="15" customWidth="1"/>
    <col min="4" max="4" width="12" customWidth="1"/>
    <col min="5" max="5" width="19" customWidth="1"/>
    <col min="6" max="6" width="10" customWidth="1"/>
    <col min="7" max="7" width="11" customWidth="1"/>
    <col min="8" max="8" width="10" customWidth="1"/>
  </cols>
  <sheetData>
    <row r="1" spans="1: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25">
      <c r="A2" t="s">
        <v>7</v>
      </c>
      <c r="B2">
        <v>2</v>
      </c>
      <c r="C2">
        <v>2</v>
      </c>
      <c r="D2">
        <v>14</v>
      </c>
      <c r="E2">
        <v>7</v>
      </c>
      <c r="F2">
        <v>8</v>
      </c>
      <c r="G2">
        <v>1930</v>
      </c>
      <c r="H2">
        <v>1978</v>
      </c>
    </row>
    <row r="3" spans="1:8" x14ac:dyDescent="0.25">
      <c r="A3" t="s">
        <v>13</v>
      </c>
      <c r="B3">
        <v>3</v>
      </c>
      <c r="C3">
        <v>3</v>
      </c>
      <c r="D3">
        <v>23</v>
      </c>
      <c r="E3">
        <v>7.666666666666667</v>
      </c>
      <c r="F3">
        <v>8</v>
      </c>
      <c r="G3">
        <v>1938</v>
      </c>
      <c r="H3">
        <v>2002</v>
      </c>
    </row>
    <row r="4" spans="1:8" x14ac:dyDescent="0.25">
      <c r="A4" t="s">
        <v>48</v>
      </c>
      <c r="B4">
        <v>1</v>
      </c>
      <c r="C4">
        <v>1</v>
      </c>
      <c r="D4">
        <v>6</v>
      </c>
      <c r="E4">
        <v>6</v>
      </c>
      <c r="F4">
        <v>6</v>
      </c>
      <c r="G4">
        <v>2014</v>
      </c>
      <c r="H4">
        <v>2014</v>
      </c>
    </row>
    <row r="5" spans="1:8" x14ac:dyDescent="0.25">
      <c r="A5" t="s">
        <v>40</v>
      </c>
      <c r="B5">
        <v>1</v>
      </c>
      <c r="C5">
        <v>1</v>
      </c>
      <c r="D5">
        <v>6</v>
      </c>
      <c r="E5">
        <v>6</v>
      </c>
      <c r="F5">
        <v>6</v>
      </c>
      <c r="G5">
        <v>1998</v>
      </c>
      <c r="H5">
        <v>1998</v>
      </c>
    </row>
    <row r="6" spans="1:8" x14ac:dyDescent="0.25">
      <c r="A6" t="s">
        <v>10</v>
      </c>
      <c r="B6">
        <v>1</v>
      </c>
      <c r="C6">
        <v>1</v>
      </c>
      <c r="D6">
        <v>5</v>
      </c>
      <c r="E6">
        <v>5</v>
      </c>
      <c r="F6">
        <v>5</v>
      </c>
      <c r="G6">
        <v>1934</v>
      </c>
      <c r="H6">
        <v>1934</v>
      </c>
    </row>
    <row r="7" spans="1:8" x14ac:dyDescent="0.25">
      <c r="A7" t="s">
        <v>23</v>
      </c>
      <c r="B7">
        <v>2</v>
      </c>
      <c r="C7">
        <v>2</v>
      </c>
      <c r="D7">
        <v>12</v>
      </c>
      <c r="E7">
        <v>6</v>
      </c>
      <c r="F7">
        <v>6</v>
      </c>
      <c r="G7">
        <v>1986</v>
      </c>
      <c r="H7">
        <v>2018</v>
      </c>
    </row>
    <row r="8" spans="1:8" x14ac:dyDescent="0.25">
      <c r="A8" t="s">
        <v>11</v>
      </c>
      <c r="B8">
        <v>2</v>
      </c>
      <c r="C8">
        <v>2</v>
      </c>
      <c r="D8">
        <v>21</v>
      </c>
      <c r="E8">
        <v>10.5</v>
      </c>
      <c r="F8">
        <v>13</v>
      </c>
      <c r="G8">
        <v>1958</v>
      </c>
      <c r="H8">
        <v>2022</v>
      </c>
    </row>
    <row r="9" spans="1:8" x14ac:dyDescent="0.25">
      <c r="A9" t="s">
        <v>43</v>
      </c>
      <c r="B9">
        <v>2</v>
      </c>
      <c r="C9">
        <v>2</v>
      </c>
      <c r="D9">
        <v>10</v>
      </c>
      <c r="E9">
        <v>5</v>
      </c>
      <c r="F9">
        <v>5</v>
      </c>
      <c r="G9">
        <v>2006</v>
      </c>
      <c r="H9">
        <v>2010</v>
      </c>
    </row>
    <row r="10" spans="1:8" x14ac:dyDescent="0.25">
      <c r="A10" t="s">
        <v>17</v>
      </c>
      <c r="B10">
        <v>1</v>
      </c>
      <c r="C10">
        <v>1</v>
      </c>
      <c r="D10">
        <v>11</v>
      </c>
      <c r="E10">
        <v>11</v>
      </c>
      <c r="F10">
        <v>11</v>
      </c>
      <c r="G10">
        <v>1954</v>
      </c>
      <c r="H10">
        <v>1954</v>
      </c>
    </row>
    <row r="11" spans="1:8" x14ac:dyDescent="0.25">
      <c r="A11" t="s">
        <v>8</v>
      </c>
      <c r="B11">
        <v>2</v>
      </c>
      <c r="C11">
        <v>2</v>
      </c>
      <c r="D11">
        <v>12</v>
      </c>
      <c r="E11">
        <v>6</v>
      </c>
      <c r="F11">
        <v>6</v>
      </c>
      <c r="G11">
        <v>1982</v>
      </c>
      <c r="H11">
        <v>1990</v>
      </c>
    </row>
    <row r="12" spans="1:8" x14ac:dyDescent="0.25">
      <c r="A12" t="s">
        <v>22</v>
      </c>
      <c r="B12">
        <v>1</v>
      </c>
      <c r="C12">
        <v>1</v>
      </c>
      <c r="D12">
        <v>4</v>
      </c>
      <c r="E12">
        <v>4</v>
      </c>
      <c r="F12">
        <v>4</v>
      </c>
      <c r="G12">
        <v>1962</v>
      </c>
      <c r="H12">
        <v>1962</v>
      </c>
    </row>
    <row r="13" spans="1:8" x14ac:dyDescent="0.25">
      <c r="A13" t="s">
        <v>30</v>
      </c>
      <c r="B13">
        <v>1</v>
      </c>
      <c r="C13">
        <v>1</v>
      </c>
      <c r="D13">
        <v>7</v>
      </c>
      <c r="E13">
        <v>7</v>
      </c>
      <c r="F13">
        <v>7</v>
      </c>
      <c r="G13">
        <v>1974</v>
      </c>
      <c r="H13">
        <v>1974</v>
      </c>
    </row>
    <row r="14" spans="1:8" x14ac:dyDescent="0.25">
      <c r="A14" t="s">
        <v>25</v>
      </c>
      <c r="B14">
        <v>1</v>
      </c>
      <c r="C14">
        <v>1</v>
      </c>
      <c r="D14">
        <v>9</v>
      </c>
      <c r="E14">
        <v>9</v>
      </c>
      <c r="F14">
        <v>9</v>
      </c>
      <c r="G14">
        <v>1966</v>
      </c>
      <c r="H14">
        <v>1966</v>
      </c>
    </row>
    <row r="15" spans="1:8" x14ac:dyDescent="0.25">
      <c r="A15" t="s">
        <v>38</v>
      </c>
      <c r="B15">
        <v>1</v>
      </c>
      <c r="C15">
        <v>1</v>
      </c>
      <c r="D15">
        <v>6</v>
      </c>
      <c r="E15">
        <v>6</v>
      </c>
      <c r="F15">
        <v>6</v>
      </c>
      <c r="G15">
        <v>1994</v>
      </c>
      <c r="H15">
        <v>1994</v>
      </c>
    </row>
    <row r="16" spans="1:8" x14ac:dyDescent="0.25">
      <c r="A16" t="s">
        <v>28</v>
      </c>
      <c r="B16">
        <v>1</v>
      </c>
      <c r="C16">
        <v>1</v>
      </c>
      <c r="D16">
        <v>10</v>
      </c>
      <c r="E16">
        <v>10</v>
      </c>
      <c r="F16">
        <v>10</v>
      </c>
      <c r="G16">
        <v>1970</v>
      </c>
      <c r="H16">
        <v>1970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selection activeCell="G19" sqref="G19"/>
    </sheetView>
  </sheetViews>
  <sheetFormatPr baseColWidth="10" defaultColWidth="9.140625" defaultRowHeight="15" x14ac:dyDescent="0.25"/>
  <cols>
    <col min="1" max="1" width="16.140625" bestFit="1" customWidth="1"/>
    <col min="2" max="2" width="8.5703125" bestFit="1" customWidth="1"/>
    <col min="3" max="3" width="5.85546875" bestFit="1" customWidth="1"/>
    <col min="4" max="4" width="10.28515625" bestFit="1" customWidth="1"/>
  </cols>
  <sheetData>
    <row r="1" spans="1:4" ht="18.75" x14ac:dyDescent="0.3">
      <c r="A1" s="1" t="s">
        <v>61</v>
      </c>
    </row>
    <row r="2" spans="1:4" x14ac:dyDescent="0.25">
      <c r="A2" t="s">
        <v>62</v>
      </c>
      <c r="B2" t="s">
        <v>23</v>
      </c>
    </row>
    <row r="3" spans="1:4" x14ac:dyDescent="0.25">
      <c r="A3" t="s">
        <v>63</v>
      </c>
      <c r="B3" t="s">
        <v>11</v>
      </c>
    </row>
    <row r="4" spans="1:4" x14ac:dyDescent="0.25">
      <c r="A4" t="s">
        <v>64</v>
      </c>
      <c r="B4" t="str">
        <f>IF(B2=B3,"Velg to ulike lag","OK")</f>
        <v>OK</v>
      </c>
    </row>
    <row r="5" spans="1:4" x14ac:dyDescent="0.25">
      <c r="A5" s="2" t="s">
        <v>65</v>
      </c>
      <c r="B5" s="2" t="s">
        <v>66</v>
      </c>
      <c r="C5" s="2" t="s">
        <v>67</v>
      </c>
      <c r="D5" s="2" t="s">
        <v>68</v>
      </c>
    </row>
    <row r="6" spans="1:4" x14ac:dyDescent="0.25">
      <c r="A6" t="s">
        <v>54</v>
      </c>
      <c r="B6">
        <f>IFERROR(INDEX(TeamStats!$B$2:$H$16,MATCH($B$2,TeamStats!$A$2:$A$16,0),2),"")</f>
        <v>2</v>
      </c>
      <c r="C6">
        <f>IFERROR(INDEX(TeamStats!$B$2:$H$16,MATCH($B$3,TeamStats!$A$2:$A$16,0),2),"")</f>
        <v>2</v>
      </c>
      <c r="D6">
        <f t="shared" ref="D6:D12" si="0">IF(OR(B6="",C6=""),"",B6-C6)</f>
        <v>0</v>
      </c>
    </row>
    <row r="7" spans="1:4" x14ac:dyDescent="0.25">
      <c r="A7" t="s">
        <v>55</v>
      </c>
      <c r="B7">
        <f>IFERROR(INDEX(TeamStats!$B$2:$H$16,MATCH($B$2,TeamStats!$A$2:$A$16,0),3),"")</f>
        <v>12</v>
      </c>
      <c r="C7">
        <f>IFERROR(INDEX(TeamStats!$B$2:$H$16,MATCH($B$3,TeamStats!$A$2:$A$16,0),3),"")</f>
        <v>21</v>
      </c>
      <c r="D7">
        <f t="shared" si="0"/>
        <v>-9</v>
      </c>
    </row>
    <row r="8" spans="1:4" x14ac:dyDescent="0.25">
      <c r="A8" t="s">
        <v>56</v>
      </c>
      <c r="B8">
        <f>IFERROR(INDEX(TeamStats!$B$2:$H$16,MATCH($B$2,TeamStats!$A$2:$A$16,0),4),"")</f>
        <v>6</v>
      </c>
      <c r="C8">
        <f>IFERROR(INDEX(TeamStats!$B$2:$H$16,MATCH($B$3,TeamStats!$A$2:$A$16,0),4),"")</f>
        <v>10.5</v>
      </c>
      <c r="D8">
        <f t="shared" si="0"/>
        <v>-4.5</v>
      </c>
    </row>
    <row r="9" spans="1:4" x14ac:dyDescent="0.25">
      <c r="A9" t="s">
        <v>57</v>
      </c>
      <c r="B9" s="3">
        <f>IFERROR(INDEX(TeamStats!$B$2:$H$16,MATCH($B$2,TeamStats!$A$2:$A$16,0),5),"")</f>
        <v>6</v>
      </c>
      <c r="C9" s="3">
        <f>IFERROR(INDEX(TeamStats!$B$2:$H$16,MATCH($B$3,TeamStats!$A$2:$A$16,0),5),"")</f>
        <v>13</v>
      </c>
      <c r="D9" s="3">
        <f t="shared" si="0"/>
        <v>-7</v>
      </c>
    </row>
    <row r="10" spans="1:4" x14ac:dyDescent="0.25">
      <c r="A10" t="s">
        <v>58</v>
      </c>
      <c r="B10">
        <f>IFERROR(INDEX(TeamStats!$B$2:$H$16,MATCH($B$2,TeamStats!$A$2:$A$16,0),6),"")</f>
        <v>1986</v>
      </c>
      <c r="C10">
        <f>IFERROR(INDEX(TeamStats!$B$2:$H$16,MATCH($B$3,TeamStats!$A$2:$A$16,0),6),"")</f>
        <v>1958</v>
      </c>
      <c r="D10">
        <f t="shared" si="0"/>
        <v>28</v>
      </c>
    </row>
    <row r="11" spans="1:4" x14ac:dyDescent="0.25">
      <c r="A11" t="s">
        <v>59</v>
      </c>
      <c r="B11">
        <f>IFERROR(INDEX(TeamStats!$B$2:$H$16,MATCH($B$2,TeamStats!$A$2:$A$16,0),7),"")</f>
        <v>2018</v>
      </c>
      <c r="C11">
        <f>IFERROR(INDEX(TeamStats!$B$2:$H$16,MATCH($B$3,TeamStats!$A$2:$A$16,0),7),"")</f>
        <v>2022</v>
      </c>
      <c r="D11">
        <f t="shared" si="0"/>
        <v>-4</v>
      </c>
    </row>
    <row r="12" spans="1:4" x14ac:dyDescent="0.25">
      <c r="A12" t="s">
        <v>60</v>
      </c>
      <c r="B12" t="str">
        <f>IFERROR(INDEX(TeamStats!$B$2:$H$16,MATCH($B$2,TeamStats!$A$2:$A$16,0),8),"")</f>
        <v/>
      </c>
      <c r="C12" t="str">
        <f>IFERROR(INDEX(TeamStats!$B$2:$H$16,MATCH($B$3,TeamStats!$A$2:$A$16,0),8),"")</f>
        <v/>
      </c>
      <c r="D12" t="str">
        <f t="shared" si="0"/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TeamStats!$A$2:$A$16</xm:f>
          </x14:formula1>
          <xm:sqref>B2 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/>
  </sheetViews>
  <sheetFormatPr baseColWidth="10" defaultColWidth="9.140625" defaultRowHeight="15" x14ac:dyDescent="0.25"/>
  <cols>
    <col min="1" max="1" width="40" customWidth="1"/>
    <col min="2" max="2" width="16" customWidth="1"/>
    <col min="3" max="3" width="14" customWidth="1"/>
    <col min="4" max="8" width="40" customWidth="1"/>
    <col min="9" max="9" width="12" customWidth="1"/>
    <col min="10" max="10" width="21" hidden="1" customWidth="1"/>
  </cols>
  <sheetData>
    <row r="1" spans="1:10" x14ac:dyDescent="0.25">
      <c r="A1" s="2" t="s">
        <v>69</v>
      </c>
      <c r="B1" s="2" t="s">
        <v>53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</row>
    <row r="2" spans="1:10" x14ac:dyDescent="0.25">
      <c r="A2">
        <f>RANK(J2,$J$2:$J$21,0)+COUNTIF($J$2:J2,J2)-1</f>
        <v>1</v>
      </c>
      <c r="B2" t="s">
        <v>78</v>
      </c>
      <c r="C2">
        <f t="shared" ref="C2:C21" si="0">D2+E2+F2</f>
        <v>30</v>
      </c>
      <c r="D2">
        <f>SUMPRODUCT((Kamper!$B$2:$B$5000=$B2)*(Kamper!$D$2:$D$5000&gt;Kamper!$E$2:$E$5000))+SUMPRODUCT((Kamper!$C$2:$C$5000=$B2)*(Kamper!$E$2:$E$5000&gt;Kamper!$D$2:$D$5000))</f>
        <v>20</v>
      </c>
      <c r="E2">
        <f>SUMPRODUCT((Kamper!$B$2:$B$5000=$B2)*(Kamper!$D$2:$D$5000=Kamper!$E$2:$E$5000))+SUMPRODUCT((Kamper!$C$2:$C$5000=$B2)*(Kamper!$E$2:$E$5000=Kamper!$D$2:$D$5000))</f>
        <v>7</v>
      </c>
      <c r="F2">
        <f>SUMPRODUCT((Kamper!$B$2:$B$5000=$B2)*(Kamper!$D$2:$D$5000&lt;Kamper!$E$2:$E$5000))+SUMPRODUCT((Kamper!$C$2:$C$5000=$B2)*(Kamper!$E$2:$E$5000&lt;Kamper!$D$2:$D$5000))</f>
        <v>3</v>
      </c>
      <c r="G2">
        <f>SUMIFS(Kamper!$D:$D,Kamper!$B:$B,$B2)+SUMIFS(Kamper!$E:$E,Kamper!$C:$C,$B2)</f>
        <v>59</v>
      </c>
      <c r="H2">
        <f>SUMIFS(Kamper!$E:$E,Kamper!$B:$B,$B2)+SUMIFS(Kamper!$D:$D,Kamper!$C:$C,$B2)</f>
        <v>22</v>
      </c>
      <c r="I2">
        <f t="shared" ref="I2:I21" si="1">D2*3+E2</f>
        <v>67</v>
      </c>
      <c r="J2">
        <f t="shared" ref="J2:J21" si="2">I2*1000+(G2-H2)</f>
        <v>67037</v>
      </c>
    </row>
    <row r="3" spans="1:10" x14ac:dyDescent="0.25">
      <c r="A3">
        <f>RANK(J3,$J$2:$J$21,0)+COUNTIF($J$2:J3,J3)-1</f>
        <v>4</v>
      </c>
      <c r="B3" t="s">
        <v>79</v>
      </c>
      <c r="C3">
        <f t="shared" si="0"/>
        <v>29</v>
      </c>
      <c r="D3">
        <f>SUMPRODUCT((Kamper!$B$2:$B$5000=$B3)*(Kamper!$D$2:$D$5000&gt;Kamper!$E$2:$E$5000))+SUMPRODUCT((Kamper!$C$2:$C$5000=$B3)*(Kamper!$E$2:$E$5000&gt;Kamper!$D$2:$D$5000))</f>
        <v>15</v>
      </c>
      <c r="E3">
        <f>SUMPRODUCT((Kamper!$B$2:$B$5000=$B3)*(Kamper!$D$2:$D$5000=Kamper!$E$2:$E$5000))+SUMPRODUCT((Kamper!$C$2:$C$5000=$B3)*(Kamper!$E$2:$E$5000=Kamper!$D$2:$D$5000))</f>
        <v>6</v>
      </c>
      <c r="F3">
        <f>SUMPRODUCT((Kamper!$B$2:$B$5000=$B3)*(Kamper!$D$2:$D$5000&lt;Kamper!$E$2:$E$5000))+SUMPRODUCT((Kamper!$C$2:$C$5000=$B3)*(Kamper!$E$2:$E$5000&lt;Kamper!$D$2:$D$5000))</f>
        <v>8</v>
      </c>
      <c r="G3">
        <f>SUMIFS(Kamper!$D:$D,Kamper!$B:$B,$B3)+SUMIFS(Kamper!$E:$E,Kamper!$C:$C,$B3)</f>
        <v>39</v>
      </c>
      <c r="H3">
        <f>SUMIFS(Kamper!$E:$E,Kamper!$B:$B,$B3)+SUMIFS(Kamper!$D:$D,Kamper!$C:$C,$B3)</f>
        <v>34</v>
      </c>
      <c r="I3">
        <f t="shared" si="1"/>
        <v>51</v>
      </c>
      <c r="J3">
        <f t="shared" si="2"/>
        <v>51005</v>
      </c>
    </row>
    <row r="4" spans="1:10" x14ac:dyDescent="0.25">
      <c r="A4">
        <f>RANK(J4,$J$2:$J$21,0)+COUNTIF($J$2:J4,J4)-1</f>
        <v>9</v>
      </c>
      <c r="B4" t="s">
        <v>80</v>
      </c>
      <c r="C4">
        <f t="shared" si="0"/>
        <v>29</v>
      </c>
      <c r="D4">
        <f>SUMPRODUCT((Kamper!$B$2:$B$5000=$B4)*(Kamper!$D$2:$D$5000&gt;Kamper!$E$2:$E$5000))+SUMPRODUCT((Kamper!$C$2:$C$5000=$B4)*(Kamper!$E$2:$E$5000&gt;Kamper!$D$2:$D$5000))</f>
        <v>9</v>
      </c>
      <c r="E4">
        <f>SUMPRODUCT((Kamper!$B$2:$B$5000=$B4)*(Kamper!$D$2:$D$5000=Kamper!$E$2:$E$5000))+SUMPRODUCT((Kamper!$C$2:$C$5000=$B4)*(Kamper!$E$2:$E$5000=Kamper!$D$2:$D$5000))</f>
        <v>13</v>
      </c>
      <c r="F4">
        <f>SUMPRODUCT((Kamper!$B$2:$B$5000=$B4)*(Kamper!$D$2:$D$5000&lt;Kamper!$E$2:$E$5000))+SUMPRODUCT((Kamper!$C$2:$C$5000=$B4)*(Kamper!$E$2:$E$5000&lt;Kamper!$D$2:$D$5000))</f>
        <v>7</v>
      </c>
      <c r="G4">
        <f>SUMIFS(Kamper!$D:$D,Kamper!$B:$B,$B4)+SUMIFS(Kamper!$E:$E,Kamper!$C:$C,$B4)</f>
        <v>44</v>
      </c>
      <c r="H4">
        <f>SUMIFS(Kamper!$E:$E,Kamper!$B:$B,$B4)+SUMIFS(Kamper!$D:$D,Kamper!$C:$C,$B4)</f>
        <v>46</v>
      </c>
      <c r="I4">
        <f t="shared" si="1"/>
        <v>40</v>
      </c>
      <c r="J4">
        <f t="shared" si="2"/>
        <v>39998</v>
      </c>
    </row>
    <row r="5" spans="1:10" x14ac:dyDescent="0.25">
      <c r="A5">
        <f>RANK(J5,$J$2:$J$21,0)+COUNTIF($J$2:J5,J5)-1</f>
        <v>7</v>
      </c>
      <c r="B5" t="s">
        <v>81</v>
      </c>
      <c r="C5">
        <f t="shared" si="0"/>
        <v>29</v>
      </c>
      <c r="D5">
        <f>SUMPRODUCT((Kamper!$B$2:$B$5000=$B5)*(Kamper!$D$2:$D$5000&gt;Kamper!$E$2:$E$5000))+SUMPRODUCT((Kamper!$C$2:$C$5000=$B5)*(Kamper!$E$2:$E$5000&gt;Kamper!$D$2:$D$5000))</f>
        <v>13</v>
      </c>
      <c r="E5">
        <f>SUMPRODUCT((Kamper!$B$2:$B$5000=$B5)*(Kamper!$D$2:$D$5000=Kamper!$E$2:$E$5000))+SUMPRODUCT((Kamper!$C$2:$C$5000=$B5)*(Kamper!$E$2:$E$5000=Kamper!$D$2:$D$5000))</f>
        <v>5</v>
      </c>
      <c r="F5">
        <f>SUMPRODUCT((Kamper!$B$2:$B$5000=$B5)*(Kamper!$D$2:$D$5000&lt;Kamper!$E$2:$E$5000))+SUMPRODUCT((Kamper!$C$2:$C$5000=$B5)*(Kamper!$E$2:$E$5000&lt;Kamper!$D$2:$D$5000))</f>
        <v>11</v>
      </c>
      <c r="G5">
        <f>SUMIFS(Kamper!$D:$D,Kamper!$B:$B,$B5)+SUMIFS(Kamper!$E:$E,Kamper!$C:$C,$B5)</f>
        <v>44</v>
      </c>
      <c r="H5">
        <f>SUMIFS(Kamper!$E:$E,Kamper!$B:$B,$B5)+SUMIFS(Kamper!$D:$D,Kamper!$C:$C,$B5)</f>
        <v>40</v>
      </c>
      <c r="I5">
        <f t="shared" si="1"/>
        <v>44</v>
      </c>
      <c r="J5">
        <f t="shared" si="2"/>
        <v>44004</v>
      </c>
    </row>
    <row r="6" spans="1:10" x14ac:dyDescent="0.25">
      <c r="A6">
        <f>RANK(J6,$J$2:$J$21,0)+COUNTIF($J$2:J6,J6)-1</f>
        <v>14</v>
      </c>
      <c r="B6" t="s">
        <v>82</v>
      </c>
      <c r="C6">
        <f t="shared" si="0"/>
        <v>29</v>
      </c>
      <c r="D6">
        <f>SUMPRODUCT((Kamper!$B$2:$B$5000=$B6)*(Kamper!$D$2:$D$5000&gt;Kamper!$E$2:$E$5000))+SUMPRODUCT((Kamper!$C$2:$C$5000=$B6)*(Kamper!$E$2:$E$5000&gt;Kamper!$D$2:$D$5000))</f>
        <v>9</v>
      </c>
      <c r="E6">
        <f>SUMPRODUCT((Kamper!$B$2:$B$5000=$B6)*(Kamper!$D$2:$D$5000=Kamper!$E$2:$E$5000))+SUMPRODUCT((Kamper!$C$2:$C$5000=$B6)*(Kamper!$E$2:$E$5000=Kamper!$D$2:$D$5000))</f>
        <v>10</v>
      </c>
      <c r="F6">
        <f>SUMPRODUCT((Kamper!$B$2:$B$5000=$B6)*(Kamper!$D$2:$D$5000&lt;Kamper!$E$2:$E$5000))+SUMPRODUCT((Kamper!$C$2:$C$5000=$B6)*(Kamper!$E$2:$E$5000&lt;Kamper!$D$2:$D$5000))</f>
        <v>10</v>
      </c>
      <c r="G6">
        <f>SUMIFS(Kamper!$D:$D,Kamper!$B:$B,$B6)+SUMIFS(Kamper!$E:$E,Kamper!$C:$C,$B6)</f>
        <v>38</v>
      </c>
      <c r="H6">
        <f>SUMIFS(Kamper!$E:$E,Kamper!$B:$B,$B6)+SUMIFS(Kamper!$D:$D,Kamper!$C:$C,$B6)</f>
        <v>36</v>
      </c>
      <c r="I6">
        <f t="shared" si="1"/>
        <v>37</v>
      </c>
      <c r="J6">
        <f t="shared" si="2"/>
        <v>37002</v>
      </c>
    </row>
    <row r="7" spans="1:10" x14ac:dyDescent="0.25">
      <c r="A7">
        <f>RANK(J7,$J$2:$J$21,0)+COUNTIF($J$2:J7,J7)-1</f>
        <v>19</v>
      </c>
      <c r="B7" t="s">
        <v>83</v>
      </c>
      <c r="C7">
        <f t="shared" si="0"/>
        <v>29</v>
      </c>
      <c r="D7">
        <f>SUMPRODUCT((Kamper!$B$2:$B$5000=$B7)*(Kamper!$D$2:$D$5000&gt;Kamper!$E$2:$E$5000))+SUMPRODUCT((Kamper!$C$2:$C$5000=$B7)*(Kamper!$E$2:$E$5000&gt;Kamper!$D$2:$D$5000))</f>
        <v>4</v>
      </c>
      <c r="E7">
        <f>SUMPRODUCT((Kamper!$B$2:$B$5000=$B7)*(Kamper!$D$2:$D$5000=Kamper!$E$2:$E$5000))+SUMPRODUCT((Kamper!$C$2:$C$5000=$B7)*(Kamper!$E$2:$E$5000=Kamper!$D$2:$D$5000))</f>
        <v>7</v>
      </c>
      <c r="F7">
        <f>SUMPRODUCT((Kamper!$B$2:$B$5000=$B7)*(Kamper!$D$2:$D$5000&lt;Kamper!$E$2:$E$5000))+SUMPRODUCT((Kamper!$C$2:$C$5000=$B7)*(Kamper!$E$2:$E$5000&lt;Kamper!$D$2:$D$5000))</f>
        <v>18</v>
      </c>
      <c r="G7">
        <f>SUMIFS(Kamper!$D:$D,Kamper!$B:$B,$B7)+SUMIFS(Kamper!$E:$E,Kamper!$C:$C,$B7)</f>
        <v>32</v>
      </c>
      <c r="H7">
        <f>SUMIFS(Kamper!$E:$E,Kamper!$B:$B,$B7)+SUMIFS(Kamper!$D:$D,Kamper!$C:$C,$B7)</f>
        <v>58</v>
      </c>
      <c r="I7">
        <f t="shared" si="1"/>
        <v>19</v>
      </c>
      <c r="J7">
        <f t="shared" si="2"/>
        <v>18974</v>
      </c>
    </row>
    <row r="8" spans="1:10" x14ac:dyDescent="0.25">
      <c r="A8">
        <f>RANK(J8,$J$2:$J$21,0)+COUNTIF($J$2:J8,J8)-1</f>
        <v>5</v>
      </c>
      <c r="B8" t="s">
        <v>84</v>
      </c>
      <c r="C8">
        <f t="shared" si="0"/>
        <v>29</v>
      </c>
      <c r="D8">
        <f>SUMPRODUCT((Kamper!$B$2:$B$5000=$B8)*(Kamper!$D$2:$D$5000&gt;Kamper!$E$2:$E$5000))+SUMPRODUCT((Kamper!$C$2:$C$5000=$B8)*(Kamper!$E$2:$E$5000&gt;Kamper!$D$2:$D$5000))</f>
        <v>13</v>
      </c>
      <c r="E8">
        <f>SUMPRODUCT((Kamper!$B$2:$B$5000=$B8)*(Kamper!$D$2:$D$5000=Kamper!$E$2:$E$5000))+SUMPRODUCT((Kamper!$C$2:$C$5000=$B8)*(Kamper!$E$2:$E$5000=Kamper!$D$2:$D$5000))</f>
        <v>9</v>
      </c>
      <c r="F8">
        <f>SUMPRODUCT((Kamper!$B$2:$B$5000=$B8)*(Kamper!$D$2:$D$5000&lt;Kamper!$E$2:$E$5000))+SUMPRODUCT((Kamper!$C$2:$C$5000=$B8)*(Kamper!$E$2:$E$5000&lt;Kamper!$D$2:$D$5000))</f>
        <v>7</v>
      </c>
      <c r="G8">
        <f>SUMIFS(Kamper!$D:$D,Kamper!$B:$B,$B8)+SUMIFS(Kamper!$E:$E,Kamper!$C:$C,$B8)</f>
        <v>53</v>
      </c>
      <c r="H8">
        <f>SUMIFS(Kamper!$E:$E,Kamper!$B:$B,$B8)+SUMIFS(Kamper!$D:$D,Kamper!$C:$C,$B8)</f>
        <v>34</v>
      </c>
      <c r="I8">
        <f t="shared" si="1"/>
        <v>48</v>
      </c>
      <c r="J8">
        <f t="shared" si="2"/>
        <v>48019</v>
      </c>
    </row>
    <row r="9" spans="1:10" x14ac:dyDescent="0.25">
      <c r="A9">
        <f>RANK(J9,$J$2:$J$21,0)+COUNTIF($J$2:J9,J9)-1</f>
        <v>13</v>
      </c>
      <c r="B9" t="s">
        <v>85</v>
      </c>
      <c r="C9">
        <f t="shared" si="0"/>
        <v>29</v>
      </c>
      <c r="D9">
        <f>SUMPRODUCT((Kamper!$B$2:$B$5000=$B9)*(Kamper!$D$2:$D$5000&gt;Kamper!$E$2:$E$5000))+SUMPRODUCT((Kamper!$C$2:$C$5000=$B9)*(Kamper!$E$2:$E$5000&gt;Kamper!$D$2:$D$5000))</f>
        <v>10</v>
      </c>
      <c r="E9">
        <f>SUMPRODUCT((Kamper!$B$2:$B$5000=$B9)*(Kamper!$D$2:$D$5000=Kamper!$E$2:$E$5000))+SUMPRODUCT((Kamper!$C$2:$C$5000=$B9)*(Kamper!$E$2:$E$5000=Kamper!$D$2:$D$5000))</f>
        <v>8</v>
      </c>
      <c r="F9">
        <f>SUMPRODUCT((Kamper!$B$2:$B$5000=$B9)*(Kamper!$D$2:$D$5000&lt;Kamper!$E$2:$E$5000))+SUMPRODUCT((Kamper!$C$2:$C$5000=$B9)*(Kamper!$E$2:$E$5000&lt;Kamper!$D$2:$D$5000))</f>
        <v>11</v>
      </c>
      <c r="G9">
        <f>SUMIFS(Kamper!$D:$D,Kamper!$B:$B,$B9)+SUMIFS(Kamper!$E:$E,Kamper!$C:$C,$B9)</f>
        <v>33</v>
      </c>
      <c r="H9">
        <f>SUMIFS(Kamper!$E:$E,Kamper!$B:$B,$B9)+SUMIFS(Kamper!$D:$D,Kamper!$C:$C,$B9)</f>
        <v>35</v>
      </c>
      <c r="I9">
        <f t="shared" si="1"/>
        <v>38</v>
      </c>
      <c r="J9">
        <f t="shared" si="2"/>
        <v>37998</v>
      </c>
    </row>
    <row r="10" spans="1:10" x14ac:dyDescent="0.25">
      <c r="A10">
        <f>RANK(J10,$J$2:$J$21,0)+COUNTIF($J$2:J10,J10)-1</f>
        <v>8</v>
      </c>
      <c r="B10" t="s">
        <v>86</v>
      </c>
      <c r="C10">
        <f t="shared" si="0"/>
        <v>29</v>
      </c>
      <c r="D10">
        <f>SUMPRODUCT((Kamper!$B$2:$B$5000=$B10)*(Kamper!$D$2:$D$5000&gt;Kamper!$E$2:$E$5000))+SUMPRODUCT((Kamper!$C$2:$C$5000=$B10)*(Kamper!$E$2:$E$5000&gt;Kamper!$D$2:$D$5000))</f>
        <v>12</v>
      </c>
      <c r="E10">
        <f>SUMPRODUCT((Kamper!$B$2:$B$5000=$B10)*(Kamper!$D$2:$D$5000=Kamper!$E$2:$E$5000))+SUMPRODUCT((Kamper!$C$2:$C$5000=$B10)*(Kamper!$E$2:$E$5000=Kamper!$D$2:$D$5000))</f>
        <v>7</v>
      </c>
      <c r="F10">
        <f>SUMPRODUCT((Kamper!$B$2:$B$5000=$B10)*(Kamper!$D$2:$D$5000&lt;Kamper!$E$2:$E$5000))+SUMPRODUCT((Kamper!$C$2:$C$5000=$B10)*(Kamper!$E$2:$E$5000&lt;Kamper!$D$2:$D$5000))</f>
        <v>10</v>
      </c>
      <c r="G10">
        <f>SUMIFS(Kamper!$D:$D,Kamper!$B:$B,$B10)+SUMIFS(Kamper!$E:$E,Kamper!$C:$C,$B10)</f>
        <v>34</v>
      </c>
      <c r="H10">
        <f>SUMIFS(Kamper!$E:$E,Kamper!$B:$B,$B10)+SUMIFS(Kamper!$D:$D,Kamper!$C:$C,$B10)</f>
        <v>33</v>
      </c>
      <c r="I10">
        <f t="shared" si="1"/>
        <v>43</v>
      </c>
      <c r="J10">
        <f t="shared" si="2"/>
        <v>43001</v>
      </c>
    </row>
    <row r="11" spans="1:10" x14ac:dyDescent="0.25">
      <c r="A11">
        <f>RANK(J11,$J$2:$J$21,0)+COUNTIF($J$2:J11,J11)-1</f>
        <v>10</v>
      </c>
      <c r="B11" t="s">
        <v>87</v>
      </c>
      <c r="C11">
        <f t="shared" si="0"/>
        <v>29</v>
      </c>
      <c r="D11">
        <f>SUMPRODUCT((Kamper!$B$2:$B$5000=$B11)*(Kamper!$D$2:$D$5000&gt;Kamper!$E$2:$E$5000))+SUMPRODUCT((Kamper!$C$2:$C$5000=$B11)*(Kamper!$E$2:$E$5000&gt;Kamper!$D$2:$D$5000))</f>
        <v>12</v>
      </c>
      <c r="E11">
        <f>SUMPRODUCT((Kamper!$B$2:$B$5000=$B11)*(Kamper!$D$2:$D$5000=Kamper!$E$2:$E$5000))+SUMPRODUCT((Kamper!$C$2:$C$5000=$B11)*(Kamper!$E$2:$E$5000=Kamper!$D$2:$D$5000))</f>
        <v>4</v>
      </c>
      <c r="F11">
        <f>SUMPRODUCT((Kamper!$B$2:$B$5000=$B11)*(Kamper!$D$2:$D$5000&lt;Kamper!$E$2:$E$5000))+SUMPRODUCT((Kamper!$C$2:$C$5000=$B11)*(Kamper!$E$2:$E$5000&lt;Kamper!$D$2:$D$5000))</f>
        <v>13</v>
      </c>
      <c r="G11">
        <f>SUMIFS(Kamper!$D:$D,Kamper!$B:$B,$B11)+SUMIFS(Kamper!$E:$E,Kamper!$C:$C,$B11)</f>
        <v>40</v>
      </c>
      <c r="H11">
        <f>SUMIFS(Kamper!$E:$E,Kamper!$B:$B,$B11)+SUMIFS(Kamper!$D:$D,Kamper!$C:$C,$B11)</f>
        <v>43</v>
      </c>
      <c r="I11">
        <f t="shared" si="1"/>
        <v>40</v>
      </c>
      <c r="J11">
        <f t="shared" si="2"/>
        <v>39997</v>
      </c>
    </row>
    <row r="12" spans="1:10" x14ac:dyDescent="0.25">
      <c r="A12">
        <f>RANK(J12,$J$2:$J$21,0)+COUNTIF($J$2:J12,J12)-1</f>
        <v>15</v>
      </c>
      <c r="B12" t="s">
        <v>88</v>
      </c>
      <c r="C12">
        <f t="shared" si="0"/>
        <v>29</v>
      </c>
      <c r="D12">
        <f>SUMPRODUCT((Kamper!$B$2:$B$5000=$B12)*(Kamper!$D$2:$D$5000&gt;Kamper!$E$2:$E$5000))+SUMPRODUCT((Kamper!$C$2:$C$5000=$B12)*(Kamper!$E$2:$E$5000&gt;Kamper!$D$2:$D$5000))</f>
        <v>7</v>
      </c>
      <c r="E12">
        <f>SUMPRODUCT((Kamper!$B$2:$B$5000=$B12)*(Kamper!$D$2:$D$5000=Kamper!$E$2:$E$5000))+SUMPRODUCT((Kamper!$C$2:$C$5000=$B12)*(Kamper!$E$2:$E$5000=Kamper!$D$2:$D$5000))</f>
        <v>10</v>
      </c>
      <c r="F12">
        <f>SUMPRODUCT((Kamper!$B$2:$B$5000=$B12)*(Kamper!$D$2:$D$5000&lt;Kamper!$E$2:$E$5000))+SUMPRODUCT((Kamper!$C$2:$C$5000=$B12)*(Kamper!$E$2:$E$5000&lt;Kamper!$D$2:$D$5000))</f>
        <v>12</v>
      </c>
      <c r="G12">
        <f>SUMIFS(Kamper!$D:$D,Kamper!$B:$B,$B12)+SUMIFS(Kamper!$E:$E,Kamper!$C:$C,$B12)</f>
        <v>37</v>
      </c>
      <c r="H12">
        <f>SUMIFS(Kamper!$E:$E,Kamper!$B:$B,$B12)+SUMIFS(Kamper!$D:$D,Kamper!$C:$C,$B12)</f>
        <v>48</v>
      </c>
      <c r="I12">
        <f t="shared" si="1"/>
        <v>31</v>
      </c>
      <c r="J12">
        <f t="shared" si="2"/>
        <v>30989</v>
      </c>
    </row>
    <row r="13" spans="1:10" x14ac:dyDescent="0.25">
      <c r="A13">
        <f>RANK(J13,$J$2:$J$21,0)+COUNTIF($J$2:J13,J13)-1</f>
        <v>6</v>
      </c>
      <c r="B13" t="s">
        <v>89</v>
      </c>
      <c r="C13">
        <f t="shared" si="0"/>
        <v>29</v>
      </c>
      <c r="D13">
        <f>SUMPRODUCT((Kamper!$B$2:$B$5000=$B13)*(Kamper!$D$2:$D$5000&gt;Kamper!$E$2:$E$5000))+SUMPRODUCT((Kamper!$C$2:$C$5000=$B13)*(Kamper!$E$2:$E$5000&gt;Kamper!$D$2:$D$5000))</f>
        <v>14</v>
      </c>
      <c r="E13">
        <f>SUMPRODUCT((Kamper!$B$2:$B$5000=$B13)*(Kamper!$D$2:$D$5000=Kamper!$E$2:$E$5000))+SUMPRODUCT((Kamper!$C$2:$C$5000=$B13)*(Kamper!$E$2:$E$5000=Kamper!$D$2:$D$5000))</f>
        <v>6</v>
      </c>
      <c r="F13">
        <f>SUMPRODUCT((Kamper!$B$2:$B$5000=$B13)*(Kamper!$D$2:$D$5000&lt;Kamper!$E$2:$E$5000))+SUMPRODUCT((Kamper!$C$2:$C$5000=$B13)*(Kamper!$E$2:$E$5000&lt;Kamper!$D$2:$D$5000))</f>
        <v>9</v>
      </c>
      <c r="G13">
        <f>SUMIFS(Kamper!$D:$D,Kamper!$B:$B,$B13)+SUMIFS(Kamper!$E:$E,Kamper!$C:$C,$B13)</f>
        <v>48</v>
      </c>
      <c r="H13">
        <f>SUMIFS(Kamper!$E:$E,Kamper!$B:$B,$B13)+SUMIFS(Kamper!$D:$D,Kamper!$C:$C,$B13)</f>
        <v>39</v>
      </c>
      <c r="I13">
        <f t="shared" si="1"/>
        <v>48</v>
      </c>
      <c r="J13">
        <f t="shared" si="2"/>
        <v>48009</v>
      </c>
    </row>
    <row r="14" spans="1:10" x14ac:dyDescent="0.25">
      <c r="A14">
        <f>RANK(J14,$J$2:$J$21,0)+COUNTIF($J$2:J14,J14)-1</f>
        <v>2</v>
      </c>
      <c r="B14" t="s">
        <v>90</v>
      </c>
      <c r="C14">
        <f t="shared" si="0"/>
        <v>29</v>
      </c>
      <c r="D14">
        <f>SUMPRODUCT((Kamper!$B$2:$B$5000=$B14)*(Kamper!$D$2:$D$5000&gt;Kamper!$E$2:$E$5000))+SUMPRODUCT((Kamper!$C$2:$C$5000=$B14)*(Kamper!$E$2:$E$5000&gt;Kamper!$D$2:$D$5000))</f>
        <v>18</v>
      </c>
      <c r="E14">
        <f>SUMPRODUCT((Kamper!$B$2:$B$5000=$B14)*(Kamper!$D$2:$D$5000=Kamper!$E$2:$E$5000))+SUMPRODUCT((Kamper!$C$2:$C$5000=$B14)*(Kamper!$E$2:$E$5000=Kamper!$D$2:$D$5000))</f>
        <v>6</v>
      </c>
      <c r="F14">
        <f>SUMPRODUCT((Kamper!$B$2:$B$5000=$B14)*(Kamper!$D$2:$D$5000&lt;Kamper!$E$2:$E$5000))+SUMPRODUCT((Kamper!$C$2:$C$5000=$B14)*(Kamper!$E$2:$E$5000&lt;Kamper!$D$2:$D$5000))</f>
        <v>5</v>
      </c>
      <c r="G14">
        <f>SUMIFS(Kamper!$D:$D,Kamper!$B:$B,$B14)+SUMIFS(Kamper!$E:$E,Kamper!$C:$C,$B14)</f>
        <v>59</v>
      </c>
      <c r="H14">
        <f>SUMIFS(Kamper!$E:$E,Kamper!$B:$B,$B14)+SUMIFS(Kamper!$D:$D,Kamper!$C:$C,$B14)</f>
        <v>27</v>
      </c>
      <c r="I14">
        <f t="shared" si="1"/>
        <v>60</v>
      </c>
      <c r="J14">
        <f t="shared" si="2"/>
        <v>60032</v>
      </c>
    </row>
    <row r="15" spans="1:10" x14ac:dyDescent="0.25">
      <c r="A15">
        <f>RANK(J15,$J$2:$J$21,0)+COUNTIF($J$2:J15,J15)-1</f>
        <v>3</v>
      </c>
      <c r="B15" t="s">
        <v>91</v>
      </c>
      <c r="C15">
        <f t="shared" si="0"/>
        <v>29</v>
      </c>
      <c r="D15">
        <f>SUMPRODUCT((Kamper!$B$2:$B$5000=$B15)*(Kamper!$D$2:$D$5000&gt;Kamper!$E$2:$E$5000))+SUMPRODUCT((Kamper!$C$2:$C$5000=$B15)*(Kamper!$E$2:$E$5000&gt;Kamper!$D$2:$D$5000))</f>
        <v>14</v>
      </c>
      <c r="E15">
        <f>SUMPRODUCT((Kamper!$B$2:$B$5000=$B15)*(Kamper!$D$2:$D$5000=Kamper!$E$2:$E$5000))+SUMPRODUCT((Kamper!$C$2:$C$5000=$B15)*(Kamper!$E$2:$E$5000=Kamper!$D$2:$D$5000))</f>
        <v>9</v>
      </c>
      <c r="F15">
        <f>SUMPRODUCT((Kamper!$B$2:$B$5000=$B15)*(Kamper!$D$2:$D$5000&lt;Kamper!$E$2:$E$5000))+SUMPRODUCT((Kamper!$C$2:$C$5000=$B15)*(Kamper!$E$2:$E$5000&lt;Kamper!$D$2:$D$5000))</f>
        <v>6</v>
      </c>
      <c r="G15">
        <f>SUMIFS(Kamper!$D:$D,Kamper!$B:$B,$B15)+SUMIFS(Kamper!$E:$E,Kamper!$C:$C,$B15)</f>
        <v>51</v>
      </c>
      <c r="H15">
        <f>SUMIFS(Kamper!$E:$E,Kamper!$B:$B,$B15)+SUMIFS(Kamper!$D:$D,Kamper!$C:$C,$B15)</f>
        <v>40</v>
      </c>
      <c r="I15">
        <f t="shared" si="1"/>
        <v>51</v>
      </c>
      <c r="J15">
        <f t="shared" si="2"/>
        <v>51011</v>
      </c>
    </row>
    <row r="16" spans="1:10" x14ac:dyDescent="0.25">
      <c r="A16">
        <f>RANK(J16,$J$2:$J$21,0)+COUNTIF($J$2:J16,J16)-1</f>
        <v>12</v>
      </c>
      <c r="B16" t="s">
        <v>92</v>
      </c>
      <c r="C16">
        <f t="shared" si="0"/>
        <v>29</v>
      </c>
      <c r="D16">
        <f>SUMPRODUCT((Kamper!$B$2:$B$5000=$B16)*(Kamper!$D$2:$D$5000&gt;Kamper!$E$2:$E$5000))+SUMPRODUCT((Kamper!$C$2:$C$5000=$B16)*(Kamper!$E$2:$E$5000&gt;Kamper!$D$2:$D$5000))</f>
        <v>11</v>
      </c>
      <c r="E16">
        <f>SUMPRODUCT((Kamper!$B$2:$B$5000=$B16)*(Kamper!$D$2:$D$5000=Kamper!$E$2:$E$5000))+SUMPRODUCT((Kamper!$C$2:$C$5000=$B16)*(Kamper!$E$2:$E$5000=Kamper!$D$2:$D$5000))</f>
        <v>6</v>
      </c>
      <c r="F16">
        <f>SUMPRODUCT((Kamper!$B$2:$B$5000=$B16)*(Kamper!$D$2:$D$5000&lt;Kamper!$E$2:$E$5000))+SUMPRODUCT((Kamper!$C$2:$C$5000=$B16)*(Kamper!$E$2:$E$5000&lt;Kamper!$D$2:$D$5000))</f>
        <v>12</v>
      </c>
      <c r="G16">
        <f>SUMIFS(Kamper!$D:$D,Kamper!$B:$B,$B16)+SUMIFS(Kamper!$E:$E,Kamper!$C:$C,$B16)</f>
        <v>42</v>
      </c>
      <c r="H16">
        <f>SUMIFS(Kamper!$E:$E,Kamper!$B:$B,$B16)+SUMIFS(Kamper!$D:$D,Kamper!$C:$C,$B16)</f>
        <v>43</v>
      </c>
      <c r="I16">
        <f t="shared" si="1"/>
        <v>39</v>
      </c>
      <c r="J16">
        <f t="shared" si="2"/>
        <v>38999</v>
      </c>
    </row>
    <row r="17" spans="1:10" x14ac:dyDescent="0.25">
      <c r="A17">
        <f>RANK(J17,$J$2:$J$21,0)+COUNTIF($J$2:J17,J17)-1</f>
        <v>17</v>
      </c>
      <c r="B17" t="s">
        <v>93</v>
      </c>
      <c r="C17">
        <f t="shared" si="0"/>
        <v>29</v>
      </c>
      <c r="D17">
        <f>SUMPRODUCT((Kamper!$B$2:$B$5000=$B17)*(Kamper!$D$2:$D$5000&gt;Kamper!$E$2:$E$5000))+SUMPRODUCT((Kamper!$C$2:$C$5000=$B17)*(Kamper!$E$2:$E$5000&gt;Kamper!$D$2:$D$5000))</f>
        <v>7</v>
      </c>
      <c r="E17">
        <f>SUMPRODUCT((Kamper!$B$2:$B$5000=$B17)*(Kamper!$D$2:$D$5000=Kamper!$E$2:$E$5000))+SUMPRODUCT((Kamper!$C$2:$C$5000=$B17)*(Kamper!$E$2:$E$5000=Kamper!$D$2:$D$5000))</f>
        <v>7</v>
      </c>
      <c r="F17">
        <f>SUMPRODUCT((Kamper!$B$2:$B$5000=$B17)*(Kamper!$D$2:$D$5000&lt;Kamper!$E$2:$E$5000))+SUMPRODUCT((Kamper!$C$2:$C$5000=$B17)*(Kamper!$E$2:$E$5000&lt;Kamper!$D$2:$D$5000))</f>
        <v>15</v>
      </c>
      <c r="G17">
        <f>SUMIFS(Kamper!$D:$D,Kamper!$B:$B,$B17)+SUMIFS(Kamper!$E:$E,Kamper!$C:$C,$B17)</f>
        <v>28</v>
      </c>
      <c r="H17">
        <f>SUMIFS(Kamper!$E:$E,Kamper!$B:$B,$B17)+SUMIFS(Kamper!$D:$D,Kamper!$C:$C,$B17)</f>
        <v>43</v>
      </c>
      <c r="I17">
        <f t="shared" si="1"/>
        <v>28</v>
      </c>
      <c r="J17">
        <f t="shared" si="2"/>
        <v>27985</v>
      </c>
    </row>
    <row r="18" spans="1:10" x14ac:dyDescent="0.25">
      <c r="A18">
        <f>RANK(J18,$J$2:$J$21,0)+COUNTIF($J$2:J18,J18)-1</f>
        <v>11</v>
      </c>
      <c r="B18" t="s">
        <v>94</v>
      </c>
      <c r="C18">
        <f t="shared" si="0"/>
        <v>29</v>
      </c>
      <c r="D18">
        <f>SUMPRODUCT((Kamper!$B$2:$B$5000=$B18)*(Kamper!$D$2:$D$5000&gt;Kamper!$E$2:$E$5000))+SUMPRODUCT((Kamper!$C$2:$C$5000=$B18)*(Kamper!$E$2:$E$5000&gt;Kamper!$D$2:$D$5000))</f>
        <v>10</v>
      </c>
      <c r="E18">
        <f>SUMPRODUCT((Kamper!$B$2:$B$5000=$B18)*(Kamper!$D$2:$D$5000=Kamper!$E$2:$E$5000))+SUMPRODUCT((Kamper!$C$2:$C$5000=$B18)*(Kamper!$E$2:$E$5000=Kamper!$D$2:$D$5000))</f>
        <v>10</v>
      </c>
      <c r="F18">
        <f>SUMPRODUCT((Kamper!$B$2:$B$5000=$B18)*(Kamper!$D$2:$D$5000&lt;Kamper!$E$2:$E$5000))+SUMPRODUCT((Kamper!$C$2:$C$5000=$B18)*(Kamper!$E$2:$E$5000&lt;Kamper!$D$2:$D$5000))</f>
        <v>9</v>
      </c>
      <c r="G18">
        <f>SUMIFS(Kamper!$D:$D,Kamper!$B:$B,$B18)+SUMIFS(Kamper!$E:$E,Kamper!$C:$C,$B18)</f>
        <v>30</v>
      </c>
      <c r="H18">
        <f>SUMIFS(Kamper!$E:$E,Kamper!$B:$B,$B18)+SUMIFS(Kamper!$D:$D,Kamper!$C:$C,$B18)</f>
        <v>34</v>
      </c>
      <c r="I18">
        <f t="shared" si="1"/>
        <v>40</v>
      </c>
      <c r="J18">
        <f t="shared" si="2"/>
        <v>39996</v>
      </c>
    </row>
    <row r="19" spans="1:10" x14ac:dyDescent="0.25">
      <c r="A19">
        <f>RANK(J19,$J$2:$J$21,0)+COUNTIF($J$2:J19,J19)-1</f>
        <v>16</v>
      </c>
      <c r="B19" t="s">
        <v>95</v>
      </c>
      <c r="C19">
        <f t="shared" si="0"/>
        <v>29</v>
      </c>
      <c r="D19">
        <f>SUMPRODUCT((Kamper!$B$2:$B$5000=$B19)*(Kamper!$D$2:$D$5000&gt;Kamper!$E$2:$E$5000))+SUMPRODUCT((Kamper!$C$2:$C$5000=$B19)*(Kamper!$E$2:$E$5000&gt;Kamper!$D$2:$D$5000))</f>
        <v>7</v>
      </c>
      <c r="E19">
        <f>SUMPRODUCT((Kamper!$B$2:$B$5000=$B19)*(Kamper!$D$2:$D$5000=Kamper!$E$2:$E$5000))+SUMPRODUCT((Kamper!$C$2:$C$5000=$B19)*(Kamper!$E$2:$E$5000=Kamper!$D$2:$D$5000))</f>
        <v>8</v>
      </c>
      <c r="F19">
        <f>SUMPRODUCT((Kamper!$B$2:$B$5000=$B19)*(Kamper!$D$2:$D$5000&lt;Kamper!$E$2:$E$5000))+SUMPRODUCT((Kamper!$C$2:$C$5000=$B19)*(Kamper!$E$2:$E$5000&lt;Kamper!$D$2:$D$5000))</f>
        <v>14</v>
      </c>
      <c r="G19">
        <f>SUMIFS(Kamper!$D:$D,Kamper!$B:$B,$B19)+SUMIFS(Kamper!$E:$E,Kamper!$C:$C,$B19)</f>
        <v>39</v>
      </c>
      <c r="H19">
        <f>SUMIFS(Kamper!$E:$E,Kamper!$B:$B,$B19)+SUMIFS(Kamper!$D:$D,Kamper!$C:$C,$B19)</f>
        <v>46</v>
      </c>
      <c r="I19">
        <f t="shared" si="1"/>
        <v>29</v>
      </c>
      <c r="J19">
        <f t="shared" si="2"/>
        <v>28993</v>
      </c>
    </row>
    <row r="20" spans="1:10" x14ac:dyDescent="0.25">
      <c r="A20">
        <f>RANK(J20,$J$2:$J$21,0)+COUNTIF($J$2:J20,J20)-1</f>
        <v>18</v>
      </c>
      <c r="B20" t="s">
        <v>96</v>
      </c>
      <c r="C20">
        <f t="shared" si="0"/>
        <v>29</v>
      </c>
      <c r="D20">
        <f>SUMPRODUCT((Kamper!$B$2:$B$5000=$B20)*(Kamper!$D$2:$D$5000&gt;Kamper!$E$2:$E$5000))+SUMPRODUCT((Kamper!$C$2:$C$5000=$B20)*(Kamper!$E$2:$E$5000&gt;Kamper!$D$2:$D$5000))</f>
        <v>7</v>
      </c>
      <c r="E20">
        <f>SUMPRODUCT((Kamper!$B$2:$B$5000=$B20)*(Kamper!$D$2:$D$5000=Kamper!$E$2:$E$5000))+SUMPRODUCT((Kamper!$C$2:$C$5000=$B20)*(Kamper!$E$2:$E$5000=Kamper!$D$2:$D$5000))</f>
        <v>7</v>
      </c>
      <c r="F20">
        <f>SUMPRODUCT((Kamper!$B$2:$B$5000=$B20)*(Kamper!$D$2:$D$5000&lt;Kamper!$E$2:$E$5000))+SUMPRODUCT((Kamper!$C$2:$C$5000=$B20)*(Kamper!$E$2:$E$5000&lt;Kamper!$D$2:$D$5000))</f>
        <v>15</v>
      </c>
      <c r="G20">
        <f>SUMIFS(Kamper!$D:$D,Kamper!$B:$B,$B20)+SUMIFS(Kamper!$E:$E,Kamper!$C:$C,$B20)</f>
        <v>35</v>
      </c>
      <c r="H20">
        <f>SUMIFS(Kamper!$E:$E,Kamper!$B:$B,$B20)+SUMIFS(Kamper!$D:$D,Kamper!$C:$C,$B20)</f>
        <v>54</v>
      </c>
      <c r="I20">
        <f t="shared" si="1"/>
        <v>28</v>
      </c>
      <c r="J20">
        <f t="shared" si="2"/>
        <v>27981</v>
      </c>
    </row>
    <row r="21" spans="1:10" x14ac:dyDescent="0.25">
      <c r="A21">
        <f>RANK(J21,$J$2:$J$21,0)+COUNTIF($J$2:J21,J21)-1</f>
        <v>20</v>
      </c>
      <c r="B21" t="s">
        <v>97</v>
      </c>
      <c r="C21">
        <f t="shared" si="0"/>
        <v>30</v>
      </c>
      <c r="D21">
        <f>SUMPRODUCT((Kamper!$B$2:$B$5000=$B21)*(Kamper!$D$2:$D$5000&gt;Kamper!$E$2:$E$5000))+SUMPRODUCT((Kamper!$C$2:$C$5000=$B21)*(Kamper!$E$2:$E$5000&gt;Kamper!$D$2:$D$5000))</f>
        <v>3</v>
      </c>
      <c r="E21">
        <f>SUMPRODUCT((Kamper!$B$2:$B$5000=$B21)*(Kamper!$D$2:$D$5000=Kamper!$E$2:$E$5000))+SUMPRODUCT((Kamper!$C$2:$C$5000=$B21)*(Kamper!$E$2:$E$5000=Kamper!$D$2:$D$5000))</f>
        <v>7</v>
      </c>
      <c r="F21">
        <f>SUMPRODUCT((Kamper!$B$2:$B$5000=$B21)*(Kamper!$D$2:$D$5000&lt;Kamper!$E$2:$E$5000))+SUMPRODUCT((Kamper!$C$2:$C$5000=$B21)*(Kamper!$E$2:$E$5000&lt;Kamper!$D$2:$D$5000))</f>
        <v>20</v>
      </c>
      <c r="G21">
        <f>SUMIFS(Kamper!$D:$D,Kamper!$B:$B,$B21)+SUMIFS(Kamper!$E:$E,Kamper!$C:$C,$B21)</f>
        <v>22</v>
      </c>
      <c r="H21">
        <f>SUMIFS(Kamper!$E:$E,Kamper!$B:$B,$B21)+SUMIFS(Kamper!$D:$D,Kamper!$C:$C,$B21)</f>
        <v>52</v>
      </c>
      <c r="I21">
        <f t="shared" si="1"/>
        <v>16</v>
      </c>
      <c r="J21">
        <f t="shared" si="2"/>
        <v>15970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/>
  </sheetViews>
  <sheetFormatPr baseColWidth="10" defaultColWidth="9.140625" defaultRowHeight="15" x14ac:dyDescent="0.25"/>
  <cols>
    <col min="1" max="1" width="10" customWidth="1"/>
    <col min="2" max="9" width="40" customWidth="1"/>
  </cols>
  <sheetData>
    <row r="1" spans="1:9" x14ac:dyDescent="0.25">
      <c r="A1" s="2" t="s">
        <v>69</v>
      </c>
      <c r="B1" s="2" t="s">
        <v>53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</row>
    <row r="2" spans="1:9" x14ac:dyDescent="0.25">
      <c r="A2">
        <v>1</v>
      </c>
      <c r="B2" t="str">
        <f>IFERROR(INDEX(Tabell!$B$2:$B$21,MATCH($A2,Tabell!$A$2:$A$21,0)),"")</f>
        <v>Arsenal</v>
      </c>
      <c r="C2">
        <f>IFERROR(INDEX(Tabell!$C$2:$C$21,MATCH($A2,Tabell!$A$2:$A$21,0)),"")</f>
        <v>30</v>
      </c>
      <c r="D2">
        <f>IFERROR(INDEX(Tabell!$D$2:$D$21,MATCH($A2,Tabell!$A$2:$A$21,0)),"")</f>
        <v>20</v>
      </c>
      <c r="E2">
        <f>IFERROR(INDEX(Tabell!$E$2:$E$21,MATCH($A2,Tabell!$A$2:$A$21,0)),"")</f>
        <v>7</v>
      </c>
      <c r="F2">
        <f>IFERROR(INDEX(Tabell!$F$2:$F$21,MATCH($A2,Tabell!$A$2:$A$21,0)),"")</f>
        <v>3</v>
      </c>
      <c r="G2">
        <f>IFERROR(INDEX(Tabell!$G$2:$G$21,MATCH($A2,Tabell!$A$2:$A$21,0)),"")</f>
        <v>59</v>
      </c>
      <c r="H2">
        <f>IFERROR(INDEX(Tabell!$H$2:$H$21,MATCH($A2,Tabell!$A$2:$A$21,0)),"")</f>
        <v>22</v>
      </c>
      <c r="I2">
        <f>IFERROR(INDEX(Tabell!$I$2:$I$21,MATCH($A2,Tabell!$A$2:$A$21,0)),"")</f>
        <v>67</v>
      </c>
    </row>
    <row r="3" spans="1:9" x14ac:dyDescent="0.25">
      <c r="A3">
        <v>2</v>
      </c>
      <c r="B3" t="str">
        <f>IFERROR(INDEX(Tabell!$B$2:$B$21,MATCH($A3,Tabell!$A$2:$A$21,0)),"")</f>
        <v>Man City</v>
      </c>
      <c r="C3">
        <f>IFERROR(INDEX(Tabell!$C$2:$C$21,MATCH($A3,Tabell!$A$2:$A$21,0)),"")</f>
        <v>29</v>
      </c>
      <c r="D3">
        <f>IFERROR(INDEX(Tabell!$D$2:$D$21,MATCH($A3,Tabell!$A$2:$A$21,0)),"")</f>
        <v>18</v>
      </c>
      <c r="E3">
        <f>IFERROR(INDEX(Tabell!$E$2:$E$21,MATCH($A3,Tabell!$A$2:$A$21,0)),"")</f>
        <v>6</v>
      </c>
      <c r="F3">
        <f>IFERROR(INDEX(Tabell!$F$2:$F$21,MATCH($A3,Tabell!$A$2:$A$21,0)),"")</f>
        <v>5</v>
      </c>
      <c r="G3">
        <f>IFERROR(INDEX(Tabell!$G$2:$G$21,MATCH($A3,Tabell!$A$2:$A$21,0)),"")</f>
        <v>59</v>
      </c>
      <c r="H3">
        <f>IFERROR(INDEX(Tabell!$H$2:$H$21,MATCH($A3,Tabell!$A$2:$A$21,0)),"")</f>
        <v>27</v>
      </c>
      <c r="I3">
        <f>IFERROR(INDEX(Tabell!$I$2:$I$21,MATCH($A3,Tabell!$A$2:$A$21,0)),"")</f>
        <v>60</v>
      </c>
    </row>
    <row r="4" spans="1:9" x14ac:dyDescent="0.25">
      <c r="A4">
        <v>3</v>
      </c>
      <c r="B4" t="str">
        <f>IFERROR(INDEX(Tabell!$B$2:$B$21,MATCH($A4,Tabell!$A$2:$A$21,0)),"")</f>
        <v>Man United</v>
      </c>
      <c r="C4">
        <f>IFERROR(INDEX(Tabell!$C$2:$C$21,MATCH($A4,Tabell!$A$2:$A$21,0)),"")</f>
        <v>29</v>
      </c>
      <c r="D4">
        <f>IFERROR(INDEX(Tabell!$D$2:$D$21,MATCH($A4,Tabell!$A$2:$A$21,0)),"")</f>
        <v>14</v>
      </c>
      <c r="E4">
        <f>IFERROR(INDEX(Tabell!$E$2:$E$21,MATCH($A4,Tabell!$A$2:$A$21,0)),"")</f>
        <v>9</v>
      </c>
      <c r="F4">
        <f>IFERROR(INDEX(Tabell!$F$2:$F$21,MATCH($A4,Tabell!$A$2:$A$21,0)),"")</f>
        <v>6</v>
      </c>
      <c r="G4">
        <f>IFERROR(INDEX(Tabell!$G$2:$G$21,MATCH($A4,Tabell!$A$2:$A$21,0)),"")</f>
        <v>51</v>
      </c>
      <c r="H4">
        <f>IFERROR(INDEX(Tabell!$H$2:$H$21,MATCH($A4,Tabell!$A$2:$A$21,0)),"")</f>
        <v>40</v>
      </c>
      <c r="I4">
        <f>IFERROR(INDEX(Tabell!$I$2:$I$21,MATCH($A4,Tabell!$A$2:$A$21,0)),"")</f>
        <v>51</v>
      </c>
    </row>
    <row r="5" spans="1:9" x14ac:dyDescent="0.25">
      <c r="A5">
        <v>4</v>
      </c>
      <c r="B5" t="str">
        <f>IFERROR(INDEX(Tabell!$B$2:$B$21,MATCH($A5,Tabell!$A$2:$A$21,0)),"")</f>
        <v>Aston Villa</v>
      </c>
      <c r="C5">
        <f>IFERROR(INDEX(Tabell!$C$2:$C$21,MATCH($A5,Tabell!$A$2:$A$21,0)),"")</f>
        <v>29</v>
      </c>
      <c r="D5">
        <f>IFERROR(INDEX(Tabell!$D$2:$D$21,MATCH($A5,Tabell!$A$2:$A$21,0)),"")</f>
        <v>15</v>
      </c>
      <c r="E5">
        <f>IFERROR(INDEX(Tabell!$E$2:$E$21,MATCH($A5,Tabell!$A$2:$A$21,0)),"")</f>
        <v>6</v>
      </c>
      <c r="F5">
        <f>IFERROR(INDEX(Tabell!$F$2:$F$21,MATCH($A5,Tabell!$A$2:$A$21,0)),"")</f>
        <v>8</v>
      </c>
      <c r="G5">
        <f>IFERROR(INDEX(Tabell!$G$2:$G$21,MATCH($A5,Tabell!$A$2:$A$21,0)),"")</f>
        <v>39</v>
      </c>
      <c r="H5">
        <f>IFERROR(INDEX(Tabell!$H$2:$H$21,MATCH($A5,Tabell!$A$2:$A$21,0)),"")</f>
        <v>34</v>
      </c>
      <c r="I5">
        <f>IFERROR(INDEX(Tabell!$I$2:$I$21,MATCH($A5,Tabell!$A$2:$A$21,0)),"")</f>
        <v>51</v>
      </c>
    </row>
    <row r="6" spans="1:9" x14ac:dyDescent="0.25">
      <c r="A6">
        <v>5</v>
      </c>
      <c r="B6" t="str">
        <f>IFERROR(INDEX(Tabell!$B$2:$B$21,MATCH($A6,Tabell!$A$2:$A$21,0)),"")</f>
        <v>Chelsea</v>
      </c>
      <c r="C6">
        <f>IFERROR(INDEX(Tabell!$C$2:$C$21,MATCH($A6,Tabell!$A$2:$A$21,0)),"")</f>
        <v>29</v>
      </c>
      <c r="D6">
        <f>IFERROR(INDEX(Tabell!$D$2:$D$21,MATCH($A6,Tabell!$A$2:$A$21,0)),"")</f>
        <v>13</v>
      </c>
      <c r="E6">
        <f>IFERROR(INDEX(Tabell!$E$2:$E$21,MATCH($A6,Tabell!$A$2:$A$21,0)),"")</f>
        <v>9</v>
      </c>
      <c r="F6">
        <f>IFERROR(INDEX(Tabell!$F$2:$F$21,MATCH($A6,Tabell!$A$2:$A$21,0)),"")</f>
        <v>7</v>
      </c>
      <c r="G6">
        <f>IFERROR(INDEX(Tabell!$G$2:$G$21,MATCH($A6,Tabell!$A$2:$A$21,0)),"")</f>
        <v>53</v>
      </c>
      <c r="H6">
        <f>IFERROR(INDEX(Tabell!$H$2:$H$21,MATCH($A6,Tabell!$A$2:$A$21,0)),"")</f>
        <v>34</v>
      </c>
      <c r="I6">
        <f>IFERROR(INDEX(Tabell!$I$2:$I$21,MATCH($A6,Tabell!$A$2:$A$21,0)),"")</f>
        <v>48</v>
      </c>
    </row>
    <row r="7" spans="1:9" x14ac:dyDescent="0.25">
      <c r="A7">
        <v>6</v>
      </c>
      <c r="B7" t="str">
        <f>IFERROR(INDEX(Tabell!$B$2:$B$21,MATCH($A7,Tabell!$A$2:$A$21,0)),"")</f>
        <v>Liverpool</v>
      </c>
      <c r="C7">
        <f>IFERROR(INDEX(Tabell!$C$2:$C$21,MATCH($A7,Tabell!$A$2:$A$21,0)),"")</f>
        <v>29</v>
      </c>
      <c r="D7">
        <f>IFERROR(INDEX(Tabell!$D$2:$D$21,MATCH($A7,Tabell!$A$2:$A$21,0)),"")</f>
        <v>14</v>
      </c>
      <c r="E7">
        <f>IFERROR(INDEX(Tabell!$E$2:$E$21,MATCH($A7,Tabell!$A$2:$A$21,0)),"")</f>
        <v>6</v>
      </c>
      <c r="F7">
        <f>IFERROR(INDEX(Tabell!$F$2:$F$21,MATCH($A7,Tabell!$A$2:$A$21,0)),"")</f>
        <v>9</v>
      </c>
      <c r="G7">
        <f>IFERROR(INDEX(Tabell!$G$2:$G$21,MATCH($A7,Tabell!$A$2:$A$21,0)),"")</f>
        <v>48</v>
      </c>
      <c r="H7">
        <f>IFERROR(INDEX(Tabell!$H$2:$H$21,MATCH($A7,Tabell!$A$2:$A$21,0)),"")</f>
        <v>39</v>
      </c>
      <c r="I7">
        <f>IFERROR(INDEX(Tabell!$I$2:$I$21,MATCH($A7,Tabell!$A$2:$A$21,0)),"")</f>
        <v>48</v>
      </c>
    </row>
    <row r="8" spans="1:9" x14ac:dyDescent="0.25">
      <c r="A8">
        <v>7</v>
      </c>
      <c r="B8" t="str">
        <f>IFERROR(INDEX(Tabell!$B$2:$B$21,MATCH($A8,Tabell!$A$2:$A$21,0)),"")</f>
        <v>Brentford</v>
      </c>
      <c r="C8">
        <f>IFERROR(INDEX(Tabell!$C$2:$C$21,MATCH($A8,Tabell!$A$2:$A$21,0)),"")</f>
        <v>29</v>
      </c>
      <c r="D8">
        <f>IFERROR(INDEX(Tabell!$D$2:$D$21,MATCH($A8,Tabell!$A$2:$A$21,0)),"")</f>
        <v>13</v>
      </c>
      <c r="E8">
        <f>IFERROR(INDEX(Tabell!$E$2:$E$21,MATCH($A8,Tabell!$A$2:$A$21,0)),"")</f>
        <v>5</v>
      </c>
      <c r="F8">
        <f>IFERROR(INDEX(Tabell!$F$2:$F$21,MATCH($A8,Tabell!$A$2:$A$21,0)),"")</f>
        <v>11</v>
      </c>
      <c r="G8">
        <f>IFERROR(INDEX(Tabell!$G$2:$G$21,MATCH($A8,Tabell!$A$2:$A$21,0)),"")</f>
        <v>44</v>
      </c>
      <c r="H8">
        <f>IFERROR(INDEX(Tabell!$H$2:$H$21,MATCH($A8,Tabell!$A$2:$A$21,0)),"")</f>
        <v>40</v>
      </c>
      <c r="I8">
        <f>IFERROR(INDEX(Tabell!$I$2:$I$21,MATCH($A8,Tabell!$A$2:$A$21,0)),"")</f>
        <v>44</v>
      </c>
    </row>
    <row r="9" spans="1:9" x14ac:dyDescent="0.25">
      <c r="A9">
        <v>8</v>
      </c>
      <c r="B9" t="str">
        <f>IFERROR(INDEX(Tabell!$B$2:$B$21,MATCH($A9,Tabell!$A$2:$A$21,0)),"")</f>
        <v>Everton</v>
      </c>
      <c r="C9">
        <f>IFERROR(INDEX(Tabell!$C$2:$C$21,MATCH($A9,Tabell!$A$2:$A$21,0)),"")</f>
        <v>29</v>
      </c>
      <c r="D9">
        <f>IFERROR(INDEX(Tabell!$D$2:$D$21,MATCH($A9,Tabell!$A$2:$A$21,0)),"")</f>
        <v>12</v>
      </c>
      <c r="E9">
        <f>IFERROR(INDEX(Tabell!$E$2:$E$21,MATCH($A9,Tabell!$A$2:$A$21,0)),"")</f>
        <v>7</v>
      </c>
      <c r="F9">
        <f>IFERROR(INDEX(Tabell!$F$2:$F$21,MATCH($A9,Tabell!$A$2:$A$21,0)),"")</f>
        <v>10</v>
      </c>
      <c r="G9">
        <f>IFERROR(INDEX(Tabell!$G$2:$G$21,MATCH($A9,Tabell!$A$2:$A$21,0)),"")</f>
        <v>34</v>
      </c>
      <c r="H9">
        <f>IFERROR(INDEX(Tabell!$H$2:$H$21,MATCH($A9,Tabell!$A$2:$A$21,0)),"")</f>
        <v>33</v>
      </c>
      <c r="I9">
        <f>IFERROR(INDEX(Tabell!$I$2:$I$21,MATCH($A9,Tabell!$A$2:$A$21,0)),"")</f>
        <v>43</v>
      </c>
    </row>
    <row r="10" spans="1:9" x14ac:dyDescent="0.25">
      <c r="A10">
        <v>9</v>
      </c>
      <c r="B10" t="str">
        <f>IFERROR(INDEX(Tabell!$B$2:$B$21,MATCH($A10,Tabell!$A$2:$A$21,0)),"")</f>
        <v>Bournemouth</v>
      </c>
      <c r="C10">
        <f>IFERROR(INDEX(Tabell!$C$2:$C$21,MATCH($A10,Tabell!$A$2:$A$21,0)),"")</f>
        <v>29</v>
      </c>
      <c r="D10">
        <f>IFERROR(INDEX(Tabell!$D$2:$D$21,MATCH($A10,Tabell!$A$2:$A$21,0)),"")</f>
        <v>9</v>
      </c>
      <c r="E10">
        <f>IFERROR(INDEX(Tabell!$E$2:$E$21,MATCH($A10,Tabell!$A$2:$A$21,0)),"")</f>
        <v>13</v>
      </c>
      <c r="F10">
        <f>IFERROR(INDEX(Tabell!$F$2:$F$21,MATCH($A10,Tabell!$A$2:$A$21,0)),"")</f>
        <v>7</v>
      </c>
      <c r="G10">
        <f>IFERROR(INDEX(Tabell!$G$2:$G$21,MATCH($A10,Tabell!$A$2:$A$21,0)),"")</f>
        <v>44</v>
      </c>
      <c r="H10">
        <f>IFERROR(INDEX(Tabell!$H$2:$H$21,MATCH($A10,Tabell!$A$2:$A$21,0)),"")</f>
        <v>46</v>
      </c>
      <c r="I10">
        <f>IFERROR(INDEX(Tabell!$I$2:$I$21,MATCH($A10,Tabell!$A$2:$A$21,0)),"")</f>
        <v>40</v>
      </c>
    </row>
    <row r="11" spans="1:9" x14ac:dyDescent="0.25">
      <c r="A11">
        <v>10</v>
      </c>
      <c r="B11" t="str">
        <f>IFERROR(INDEX(Tabell!$B$2:$B$21,MATCH($A11,Tabell!$A$2:$A$21,0)),"")</f>
        <v>Fulham</v>
      </c>
      <c r="C11">
        <f>IFERROR(INDEX(Tabell!$C$2:$C$21,MATCH($A11,Tabell!$A$2:$A$21,0)),"")</f>
        <v>29</v>
      </c>
      <c r="D11">
        <f>IFERROR(INDEX(Tabell!$D$2:$D$21,MATCH($A11,Tabell!$A$2:$A$21,0)),"")</f>
        <v>12</v>
      </c>
      <c r="E11">
        <f>IFERROR(INDEX(Tabell!$E$2:$E$21,MATCH($A11,Tabell!$A$2:$A$21,0)),"")</f>
        <v>4</v>
      </c>
      <c r="F11">
        <f>IFERROR(INDEX(Tabell!$F$2:$F$21,MATCH($A11,Tabell!$A$2:$A$21,0)),"")</f>
        <v>13</v>
      </c>
      <c r="G11">
        <f>IFERROR(INDEX(Tabell!$G$2:$G$21,MATCH($A11,Tabell!$A$2:$A$21,0)),"")</f>
        <v>40</v>
      </c>
      <c r="H11">
        <f>IFERROR(INDEX(Tabell!$H$2:$H$21,MATCH($A11,Tabell!$A$2:$A$21,0)),"")</f>
        <v>43</v>
      </c>
      <c r="I11">
        <f>IFERROR(INDEX(Tabell!$I$2:$I$21,MATCH($A11,Tabell!$A$2:$A$21,0)),"")</f>
        <v>40</v>
      </c>
    </row>
    <row r="12" spans="1:9" x14ac:dyDescent="0.25">
      <c r="A12">
        <v>11</v>
      </c>
      <c r="B12" t="str">
        <f>IFERROR(INDEX(Tabell!$B$2:$B$21,MATCH($A12,Tabell!$A$2:$A$21,0)),"")</f>
        <v>Sunderland</v>
      </c>
      <c r="C12">
        <f>IFERROR(INDEX(Tabell!$C$2:$C$21,MATCH($A12,Tabell!$A$2:$A$21,0)),"")</f>
        <v>29</v>
      </c>
      <c r="D12">
        <f>IFERROR(INDEX(Tabell!$D$2:$D$21,MATCH($A12,Tabell!$A$2:$A$21,0)),"")</f>
        <v>10</v>
      </c>
      <c r="E12">
        <f>IFERROR(INDEX(Tabell!$E$2:$E$21,MATCH($A12,Tabell!$A$2:$A$21,0)),"")</f>
        <v>10</v>
      </c>
      <c r="F12">
        <f>IFERROR(INDEX(Tabell!$F$2:$F$21,MATCH($A12,Tabell!$A$2:$A$21,0)),"")</f>
        <v>9</v>
      </c>
      <c r="G12">
        <f>IFERROR(INDEX(Tabell!$G$2:$G$21,MATCH($A12,Tabell!$A$2:$A$21,0)),"")</f>
        <v>30</v>
      </c>
      <c r="H12">
        <f>IFERROR(INDEX(Tabell!$H$2:$H$21,MATCH($A12,Tabell!$A$2:$A$21,0)),"")</f>
        <v>34</v>
      </c>
      <c r="I12">
        <f>IFERROR(INDEX(Tabell!$I$2:$I$21,MATCH($A12,Tabell!$A$2:$A$21,0)),"")</f>
        <v>40</v>
      </c>
    </row>
    <row r="13" spans="1:9" x14ac:dyDescent="0.25">
      <c r="A13">
        <v>12</v>
      </c>
      <c r="B13" t="str">
        <f>IFERROR(INDEX(Tabell!$B$2:$B$21,MATCH($A13,Tabell!$A$2:$A$21,0)),"")</f>
        <v>Newcastle</v>
      </c>
      <c r="C13">
        <f>IFERROR(INDEX(Tabell!$C$2:$C$21,MATCH($A13,Tabell!$A$2:$A$21,0)),"")</f>
        <v>29</v>
      </c>
      <c r="D13">
        <f>IFERROR(INDEX(Tabell!$D$2:$D$21,MATCH($A13,Tabell!$A$2:$A$21,0)),"")</f>
        <v>11</v>
      </c>
      <c r="E13">
        <f>IFERROR(INDEX(Tabell!$E$2:$E$21,MATCH($A13,Tabell!$A$2:$A$21,0)),"")</f>
        <v>6</v>
      </c>
      <c r="F13">
        <f>IFERROR(INDEX(Tabell!$F$2:$F$21,MATCH($A13,Tabell!$A$2:$A$21,0)),"")</f>
        <v>12</v>
      </c>
      <c r="G13">
        <f>IFERROR(INDEX(Tabell!$G$2:$G$21,MATCH($A13,Tabell!$A$2:$A$21,0)),"")</f>
        <v>42</v>
      </c>
      <c r="H13">
        <f>IFERROR(INDEX(Tabell!$H$2:$H$21,MATCH($A13,Tabell!$A$2:$A$21,0)),"")</f>
        <v>43</v>
      </c>
      <c r="I13">
        <f>IFERROR(INDEX(Tabell!$I$2:$I$21,MATCH($A13,Tabell!$A$2:$A$21,0)),"")</f>
        <v>39</v>
      </c>
    </row>
    <row r="14" spans="1:9" x14ac:dyDescent="0.25">
      <c r="A14">
        <v>13</v>
      </c>
      <c r="B14" t="str">
        <f>IFERROR(INDEX(Tabell!$B$2:$B$21,MATCH($A14,Tabell!$A$2:$A$21,0)),"")</f>
        <v>Crystal Palace</v>
      </c>
      <c r="C14">
        <f>IFERROR(INDEX(Tabell!$C$2:$C$21,MATCH($A14,Tabell!$A$2:$A$21,0)),"")</f>
        <v>29</v>
      </c>
      <c r="D14">
        <f>IFERROR(INDEX(Tabell!$D$2:$D$21,MATCH($A14,Tabell!$A$2:$A$21,0)),"")</f>
        <v>10</v>
      </c>
      <c r="E14">
        <f>IFERROR(INDEX(Tabell!$E$2:$E$21,MATCH($A14,Tabell!$A$2:$A$21,0)),"")</f>
        <v>8</v>
      </c>
      <c r="F14">
        <f>IFERROR(INDEX(Tabell!$F$2:$F$21,MATCH($A14,Tabell!$A$2:$A$21,0)),"")</f>
        <v>11</v>
      </c>
      <c r="G14">
        <f>IFERROR(INDEX(Tabell!$G$2:$G$21,MATCH($A14,Tabell!$A$2:$A$21,0)),"")</f>
        <v>33</v>
      </c>
      <c r="H14">
        <f>IFERROR(INDEX(Tabell!$H$2:$H$21,MATCH($A14,Tabell!$A$2:$A$21,0)),"")</f>
        <v>35</v>
      </c>
      <c r="I14">
        <f>IFERROR(INDEX(Tabell!$I$2:$I$21,MATCH($A14,Tabell!$A$2:$A$21,0)),"")</f>
        <v>38</v>
      </c>
    </row>
    <row r="15" spans="1:9" x14ac:dyDescent="0.25">
      <c r="A15">
        <v>14</v>
      </c>
      <c r="B15" t="str">
        <f>IFERROR(INDEX(Tabell!$B$2:$B$21,MATCH($A15,Tabell!$A$2:$A$21,0)),"")</f>
        <v>Brighton</v>
      </c>
      <c r="C15">
        <f>IFERROR(INDEX(Tabell!$C$2:$C$21,MATCH($A15,Tabell!$A$2:$A$21,0)),"")</f>
        <v>29</v>
      </c>
      <c r="D15">
        <f>IFERROR(INDEX(Tabell!$D$2:$D$21,MATCH($A15,Tabell!$A$2:$A$21,0)),"")</f>
        <v>9</v>
      </c>
      <c r="E15">
        <f>IFERROR(INDEX(Tabell!$E$2:$E$21,MATCH($A15,Tabell!$A$2:$A$21,0)),"")</f>
        <v>10</v>
      </c>
      <c r="F15">
        <f>IFERROR(INDEX(Tabell!$F$2:$F$21,MATCH($A15,Tabell!$A$2:$A$21,0)),"")</f>
        <v>10</v>
      </c>
      <c r="G15">
        <f>IFERROR(INDEX(Tabell!$G$2:$G$21,MATCH($A15,Tabell!$A$2:$A$21,0)),"")</f>
        <v>38</v>
      </c>
      <c r="H15">
        <f>IFERROR(INDEX(Tabell!$H$2:$H$21,MATCH($A15,Tabell!$A$2:$A$21,0)),"")</f>
        <v>36</v>
      </c>
      <c r="I15">
        <f>IFERROR(INDEX(Tabell!$I$2:$I$21,MATCH($A15,Tabell!$A$2:$A$21,0)),"")</f>
        <v>37</v>
      </c>
    </row>
    <row r="16" spans="1:9" x14ac:dyDescent="0.25">
      <c r="A16">
        <v>15</v>
      </c>
      <c r="B16" t="str">
        <f>IFERROR(INDEX(Tabell!$B$2:$B$21,MATCH($A16,Tabell!$A$2:$A$21,0)),"")</f>
        <v>Leeds</v>
      </c>
      <c r="C16">
        <f>IFERROR(INDEX(Tabell!$C$2:$C$21,MATCH($A16,Tabell!$A$2:$A$21,0)),"")</f>
        <v>29</v>
      </c>
      <c r="D16">
        <f>IFERROR(INDEX(Tabell!$D$2:$D$21,MATCH($A16,Tabell!$A$2:$A$21,0)),"")</f>
        <v>7</v>
      </c>
      <c r="E16">
        <f>IFERROR(INDEX(Tabell!$E$2:$E$21,MATCH($A16,Tabell!$A$2:$A$21,0)),"")</f>
        <v>10</v>
      </c>
      <c r="F16">
        <f>IFERROR(INDEX(Tabell!$F$2:$F$21,MATCH($A16,Tabell!$A$2:$A$21,0)),"")</f>
        <v>12</v>
      </c>
      <c r="G16">
        <f>IFERROR(INDEX(Tabell!$G$2:$G$21,MATCH($A16,Tabell!$A$2:$A$21,0)),"")</f>
        <v>37</v>
      </c>
      <c r="H16">
        <f>IFERROR(INDEX(Tabell!$H$2:$H$21,MATCH($A16,Tabell!$A$2:$A$21,0)),"")</f>
        <v>48</v>
      </c>
      <c r="I16">
        <f>IFERROR(INDEX(Tabell!$I$2:$I$21,MATCH($A16,Tabell!$A$2:$A$21,0)),"")</f>
        <v>31</v>
      </c>
    </row>
    <row r="17" spans="1:9" x14ac:dyDescent="0.25">
      <c r="A17">
        <v>16</v>
      </c>
      <c r="B17" t="str">
        <f>IFERROR(INDEX(Tabell!$B$2:$B$21,MATCH($A17,Tabell!$A$2:$A$21,0)),"")</f>
        <v>Tottenham</v>
      </c>
      <c r="C17">
        <f>IFERROR(INDEX(Tabell!$C$2:$C$21,MATCH($A17,Tabell!$A$2:$A$21,0)),"")</f>
        <v>29</v>
      </c>
      <c r="D17">
        <f>IFERROR(INDEX(Tabell!$D$2:$D$21,MATCH($A17,Tabell!$A$2:$A$21,0)),"")</f>
        <v>7</v>
      </c>
      <c r="E17">
        <f>IFERROR(INDEX(Tabell!$E$2:$E$21,MATCH($A17,Tabell!$A$2:$A$21,0)),"")</f>
        <v>8</v>
      </c>
      <c r="F17">
        <f>IFERROR(INDEX(Tabell!$F$2:$F$21,MATCH($A17,Tabell!$A$2:$A$21,0)),"")</f>
        <v>14</v>
      </c>
      <c r="G17">
        <f>IFERROR(INDEX(Tabell!$G$2:$G$21,MATCH($A17,Tabell!$A$2:$A$21,0)),"")</f>
        <v>39</v>
      </c>
      <c r="H17">
        <f>IFERROR(INDEX(Tabell!$H$2:$H$21,MATCH($A17,Tabell!$A$2:$A$21,0)),"")</f>
        <v>46</v>
      </c>
      <c r="I17">
        <f>IFERROR(INDEX(Tabell!$I$2:$I$21,MATCH($A17,Tabell!$A$2:$A$21,0)),"")</f>
        <v>29</v>
      </c>
    </row>
    <row r="18" spans="1:9" x14ac:dyDescent="0.25">
      <c r="A18">
        <v>17</v>
      </c>
      <c r="B18" t="str">
        <f>IFERROR(INDEX(Tabell!$B$2:$B$21,MATCH($A18,Tabell!$A$2:$A$21,0)),"")</f>
        <v>Nott'm Forest</v>
      </c>
      <c r="C18">
        <f>IFERROR(INDEX(Tabell!$C$2:$C$21,MATCH($A18,Tabell!$A$2:$A$21,0)),"")</f>
        <v>29</v>
      </c>
      <c r="D18">
        <f>IFERROR(INDEX(Tabell!$D$2:$D$21,MATCH($A18,Tabell!$A$2:$A$21,0)),"")</f>
        <v>7</v>
      </c>
      <c r="E18">
        <f>IFERROR(INDEX(Tabell!$E$2:$E$21,MATCH($A18,Tabell!$A$2:$A$21,0)),"")</f>
        <v>7</v>
      </c>
      <c r="F18">
        <f>IFERROR(INDEX(Tabell!$F$2:$F$21,MATCH($A18,Tabell!$A$2:$A$21,0)),"")</f>
        <v>15</v>
      </c>
      <c r="G18">
        <f>IFERROR(INDEX(Tabell!$G$2:$G$21,MATCH($A18,Tabell!$A$2:$A$21,0)),"")</f>
        <v>28</v>
      </c>
      <c r="H18">
        <f>IFERROR(INDEX(Tabell!$H$2:$H$21,MATCH($A18,Tabell!$A$2:$A$21,0)),"")</f>
        <v>43</v>
      </c>
      <c r="I18">
        <f>IFERROR(INDEX(Tabell!$I$2:$I$21,MATCH($A18,Tabell!$A$2:$A$21,0)),"")</f>
        <v>28</v>
      </c>
    </row>
    <row r="19" spans="1:9" x14ac:dyDescent="0.25">
      <c r="A19">
        <v>18</v>
      </c>
      <c r="B19" t="str">
        <f>IFERROR(INDEX(Tabell!$B$2:$B$21,MATCH($A19,Tabell!$A$2:$A$21,0)),"")</f>
        <v>West Ham</v>
      </c>
      <c r="C19">
        <f>IFERROR(INDEX(Tabell!$C$2:$C$21,MATCH($A19,Tabell!$A$2:$A$21,0)),"")</f>
        <v>29</v>
      </c>
      <c r="D19">
        <f>IFERROR(INDEX(Tabell!$D$2:$D$21,MATCH($A19,Tabell!$A$2:$A$21,0)),"")</f>
        <v>7</v>
      </c>
      <c r="E19">
        <f>IFERROR(INDEX(Tabell!$E$2:$E$21,MATCH($A19,Tabell!$A$2:$A$21,0)),"")</f>
        <v>7</v>
      </c>
      <c r="F19">
        <f>IFERROR(INDEX(Tabell!$F$2:$F$21,MATCH($A19,Tabell!$A$2:$A$21,0)),"")</f>
        <v>15</v>
      </c>
      <c r="G19">
        <f>IFERROR(INDEX(Tabell!$G$2:$G$21,MATCH($A19,Tabell!$A$2:$A$21,0)),"")</f>
        <v>35</v>
      </c>
      <c r="H19">
        <f>IFERROR(INDEX(Tabell!$H$2:$H$21,MATCH($A19,Tabell!$A$2:$A$21,0)),"")</f>
        <v>54</v>
      </c>
      <c r="I19">
        <f>IFERROR(INDEX(Tabell!$I$2:$I$21,MATCH($A19,Tabell!$A$2:$A$21,0)),"")</f>
        <v>28</v>
      </c>
    </row>
    <row r="20" spans="1:9" x14ac:dyDescent="0.25">
      <c r="A20">
        <v>19</v>
      </c>
      <c r="B20" t="str">
        <f>IFERROR(INDEX(Tabell!$B$2:$B$21,MATCH($A20,Tabell!$A$2:$A$21,0)),"")</f>
        <v>Burnley</v>
      </c>
      <c r="C20">
        <f>IFERROR(INDEX(Tabell!$C$2:$C$21,MATCH($A20,Tabell!$A$2:$A$21,0)),"")</f>
        <v>29</v>
      </c>
      <c r="D20">
        <f>IFERROR(INDEX(Tabell!$D$2:$D$21,MATCH($A20,Tabell!$A$2:$A$21,0)),"")</f>
        <v>4</v>
      </c>
      <c r="E20">
        <f>IFERROR(INDEX(Tabell!$E$2:$E$21,MATCH($A20,Tabell!$A$2:$A$21,0)),"")</f>
        <v>7</v>
      </c>
      <c r="F20">
        <f>IFERROR(INDEX(Tabell!$F$2:$F$21,MATCH($A20,Tabell!$A$2:$A$21,0)),"")</f>
        <v>18</v>
      </c>
      <c r="G20">
        <f>IFERROR(INDEX(Tabell!$G$2:$G$21,MATCH($A20,Tabell!$A$2:$A$21,0)),"")</f>
        <v>32</v>
      </c>
      <c r="H20">
        <f>IFERROR(INDEX(Tabell!$H$2:$H$21,MATCH($A20,Tabell!$A$2:$A$21,0)),"")</f>
        <v>58</v>
      </c>
      <c r="I20">
        <f>IFERROR(INDEX(Tabell!$I$2:$I$21,MATCH($A20,Tabell!$A$2:$A$21,0)),"")</f>
        <v>19</v>
      </c>
    </row>
    <row r="21" spans="1:9" x14ac:dyDescent="0.25">
      <c r="A21">
        <v>20</v>
      </c>
      <c r="B21" t="str">
        <f>IFERROR(INDEX(Tabell!$B$2:$B$21,MATCH($A21,Tabell!$A$2:$A$21,0)),"")</f>
        <v>Wolves</v>
      </c>
      <c r="C21">
        <f>IFERROR(INDEX(Tabell!$C$2:$C$21,MATCH($A21,Tabell!$A$2:$A$21,0)),"")</f>
        <v>30</v>
      </c>
      <c r="D21">
        <f>IFERROR(INDEX(Tabell!$D$2:$D$21,MATCH($A21,Tabell!$A$2:$A$21,0)),"")</f>
        <v>3</v>
      </c>
      <c r="E21">
        <f>IFERROR(INDEX(Tabell!$E$2:$E$21,MATCH($A21,Tabell!$A$2:$A$21,0)),"")</f>
        <v>7</v>
      </c>
      <c r="F21">
        <f>IFERROR(INDEX(Tabell!$F$2:$F$21,MATCH($A21,Tabell!$A$2:$A$21,0)),"")</f>
        <v>20</v>
      </c>
      <c r="G21">
        <f>IFERROR(INDEX(Tabell!$G$2:$G$21,MATCH($A21,Tabell!$A$2:$A$21,0)),"")</f>
        <v>22</v>
      </c>
      <c r="H21">
        <f>IFERROR(INDEX(Tabell!$H$2:$H$21,MATCH($A21,Tabell!$A$2:$A$21,0)),"")</f>
        <v>52</v>
      </c>
      <c r="I21">
        <f>IFERROR(INDEX(Tabell!$I$2:$I$21,MATCH($A21,Tabell!$A$2:$A$21,0)),"")</f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2"/>
  <sheetViews>
    <sheetView workbookViewId="0"/>
  </sheetViews>
  <sheetFormatPr baseColWidth="10" defaultColWidth="9.140625" defaultRowHeight="15" x14ac:dyDescent="0.25"/>
  <cols>
    <col min="1" max="1" width="12" customWidth="1"/>
    <col min="2" max="3" width="16" customWidth="1"/>
    <col min="4" max="5" width="11" customWidth="1"/>
  </cols>
  <sheetData>
    <row r="1" spans="1:5" x14ac:dyDescent="0.2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25">
      <c r="A2" t="s">
        <v>103</v>
      </c>
      <c r="B2" t="s">
        <v>89</v>
      </c>
      <c r="C2" t="s">
        <v>80</v>
      </c>
      <c r="D2">
        <v>4</v>
      </c>
      <c r="E2">
        <v>2</v>
      </c>
    </row>
    <row r="3" spans="1:5" x14ac:dyDescent="0.25">
      <c r="A3" t="s">
        <v>104</v>
      </c>
      <c r="B3" t="s">
        <v>79</v>
      </c>
      <c r="C3" t="s">
        <v>92</v>
      </c>
      <c r="D3">
        <v>0</v>
      </c>
      <c r="E3">
        <v>0</v>
      </c>
    </row>
    <row r="4" spans="1:5" x14ac:dyDescent="0.25">
      <c r="A4" t="s">
        <v>104</v>
      </c>
      <c r="B4" t="s">
        <v>82</v>
      </c>
      <c r="C4" t="s">
        <v>87</v>
      </c>
      <c r="D4">
        <v>1</v>
      </c>
      <c r="E4">
        <v>1</v>
      </c>
    </row>
    <row r="5" spans="1:5" x14ac:dyDescent="0.25">
      <c r="A5" t="s">
        <v>104</v>
      </c>
      <c r="B5" t="s">
        <v>94</v>
      </c>
      <c r="C5" t="s">
        <v>96</v>
      </c>
      <c r="D5">
        <v>3</v>
      </c>
      <c r="E5">
        <v>0</v>
      </c>
    </row>
    <row r="6" spans="1:5" x14ac:dyDescent="0.25">
      <c r="A6" t="s">
        <v>104</v>
      </c>
      <c r="B6" t="s">
        <v>95</v>
      </c>
      <c r="C6" t="s">
        <v>83</v>
      </c>
      <c r="D6">
        <v>3</v>
      </c>
      <c r="E6">
        <v>0</v>
      </c>
    </row>
    <row r="7" spans="1:5" x14ac:dyDescent="0.25">
      <c r="A7" t="s">
        <v>104</v>
      </c>
      <c r="B7" t="s">
        <v>97</v>
      </c>
      <c r="C7" t="s">
        <v>90</v>
      </c>
      <c r="D7">
        <v>0</v>
      </c>
      <c r="E7">
        <v>4</v>
      </c>
    </row>
    <row r="8" spans="1:5" x14ac:dyDescent="0.25">
      <c r="A8" t="s">
        <v>105</v>
      </c>
      <c r="B8" t="s">
        <v>84</v>
      </c>
      <c r="C8" t="s">
        <v>85</v>
      </c>
      <c r="D8">
        <v>0</v>
      </c>
      <c r="E8">
        <v>0</v>
      </c>
    </row>
    <row r="9" spans="1:5" x14ac:dyDescent="0.25">
      <c r="A9" t="s">
        <v>105</v>
      </c>
      <c r="B9" t="s">
        <v>93</v>
      </c>
      <c r="C9" t="s">
        <v>81</v>
      </c>
      <c r="D9">
        <v>3</v>
      </c>
      <c r="E9">
        <v>1</v>
      </c>
    </row>
    <row r="10" spans="1:5" x14ac:dyDescent="0.25">
      <c r="A10" t="s">
        <v>105</v>
      </c>
      <c r="B10" t="s">
        <v>91</v>
      </c>
      <c r="C10" t="s">
        <v>78</v>
      </c>
      <c r="D10">
        <v>0</v>
      </c>
      <c r="E10">
        <v>1</v>
      </c>
    </row>
    <row r="11" spans="1:5" x14ac:dyDescent="0.25">
      <c r="A11" t="s">
        <v>106</v>
      </c>
      <c r="B11" t="s">
        <v>88</v>
      </c>
      <c r="C11" t="s">
        <v>86</v>
      </c>
      <c r="D11">
        <v>1</v>
      </c>
      <c r="E11">
        <v>0</v>
      </c>
    </row>
    <row r="12" spans="1:5" x14ac:dyDescent="0.25">
      <c r="A12" t="s">
        <v>107</v>
      </c>
      <c r="B12" t="s">
        <v>96</v>
      </c>
      <c r="C12" t="s">
        <v>84</v>
      </c>
      <c r="D12">
        <v>1</v>
      </c>
      <c r="E12">
        <v>5</v>
      </c>
    </row>
    <row r="13" spans="1:5" x14ac:dyDescent="0.25">
      <c r="A13" t="s">
        <v>108</v>
      </c>
      <c r="B13" t="s">
        <v>90</v>
      </c>
      <c r="C13" t="s">
        <v>95</v>
      </c>
      <c r="D13">
        <v>0</v>
      </c>
      <c r="E13">
        <v>2</v>
      </c>
    </row>
    <row r="14" spans="1:5" x14ac:dyDescent="0.25">
      <c r="A14" t="s">
        <v>108</v>
      </c>
      <c r="B14" t="s">
        <v>80</v>
      </c>
      <c r="C14" t="s">
        <v>97</v>
      </c>
      <c r="D14">
        <v>1</v>
      </c>
      <c r="E14">
        <v>0</v>
      </c>
    </row>
    <row r="15" spans="1:5" x14ac:dyDescent="0.25">
      <c r="A15" t="s">
        <v>108</v>
      </c>
      <c r="B15" t="s">
        <v>81</v>
      </c>
      <c r="C15" t="s">
        <v>79</v>
      </c>
      <c r="D15">
        <v>1</v>
      </c>
      <c r="E15">
        <v>0</v>
      </c>
    </row>
    <row r="16" spans="1:5" x14ac:dyDescent="0.25">
      <c r="A16" t="s">
        <v>108</v>
      </c>
      <c r="B16" t="s">
        <v>83</v>
      </c>
      <c r="C16" t="s">
        <v>94</v>
      </c>
      <c r="D16">
        <v>2</v>
      </c>
      <c r="E16">
        <v>0</v>
      </c>
    </row>
    <row r="17" spans="1:5" x14ac:dyDescent="0.25">
      <c r="A17" t="s">
        <v>108</v>
      </c>
      <c r="B17" t="s">
        <v>78</v>
      </c>
      <c r="C17" t="s">
        <v>88</v>
      </c>
      <c r="D17">
        <v>5</v>
      </c>
      <c r="E17">
        <v>0</v>
      </c>
    </row>
    <row r="18" spans="1:5" x14ac:dyDescent="0.25">
      <c r="A18" t="s">
        <v>109</v>
      </c>
      <c r="B18" t="s">
        <v>85</v>
      </c>
      <c r="C18" t="s">
        <v>93</v>
      </c>
      <c r="D18">
        <v>1</v>
      </c>
      <c r="E18">
        <v>1</v>
      </c>
    </row>
    <row r="19" spans="1:5" x14ac:dyDescent="0.25">
      <c r="A19" t="s">
        <v>109</v>
      </c>
      <c r="B19" t="s">
        <v>86</v>
      </c>
      <c r="C19" t="s">
        <v>82</v>
      </c>
      <c r="D19">
        <v>2</v>
      </c>
      <c r="E19">
        <v>0</v>
      </c>
    </row>
    <row r="20" spans="1:5" x14ac:dyDescent="0.25">
      <c r="A20" t="s">
        <v>109</v>
      </c>
      <c r="B20" t="s">
        <v>87</v>
      </c>
      <c r="C20" t="s">
        <v>91</v>
      </c>
      <c r="D20">
        <v>1</v>
      </c>
      <c r="E20">
        <v>1</v>
      </c>
    </row>
    <row r="21" spans="1:5" x14ac:dyDescent="0.25">
      <c r="A21" t="s">
        <v>110</v>
      </c>
      <c r="B21" t="s">
        <v>92</v>
      </c>
      <c r="C21" t="s">
        <v>89</v>
      </c>
      <c r="D21">
        <v>2</v>
      </c>
      <c r="E21">
        <v>3</v>
      </c>
    </row>
    <row r="22" spans="1:5" x14ac:dyDescent="0.25">
      <c r="A22" t="s">
        <v>111</v>
      </c>
      <c r="B22" t="s">
        <v>84</v>
      </c>
      <c r="C22" t="s">
        <v>87</v>
      </c>
      <c r="D22">
        <v>2</v>
      </c>
      <c r="E22">
        <v>0</v>
      </c>
    </row>
    <row r="23" spans="1:5" x14ac:dyDescent="0.25">
      <c r="A23" t="s">
        <v>111</v>
      </c>
      <c r="B23" t="s">
        <v>91</v>
      </c>
      <c r="C23" t="s">
        <v>83</v>
      </c>
      <c r="D23">
        <v>3</v>
      </c>
      <c r="E23">
        <v>2</v>
      </c>
    </row>
    <row r="24" spans="1:5" x14ac:dyDescent="0.25">
      <c r="A24" t="s">
        <v>111</v>
      </c>
      <c r="B24" t="s">
        <v>94</v>
      </c>
      <c r="C24" t="s">
        <v>81</v>
      </c>
      <c r="D24">
        <v>2</v>
      </c>
      <c r="E24">
        <v>1</v>
      </c>
    </row>
    <row r="25" spans="1:5" x14ac:dyDescent="0.25">
      <c r="A25" t="s">
        <v>111</v>
      </c>
      <c r="B25" t="s">
        <v>95</v>
      </c>
      <c r="C25" t="s">
        <v>80</v>
      </c>
      <c r="D25">
        <v>0</v>
      </c>
      <c r="E25">
        <v>1</v>
      </c>
    </row>
    <row r="26" spans="1:5" x14ac:dyDescent="0.25">
      <c r="A26" t="s">
        <v>111</v>
      </c>
      <c r="B26" t="s">
        <v>97</v>
      </c>
      <c r="C26" t="s">
        <v>86</v>
      </c>
      <c r="D26">
        <v>2</v>
      </c>
      <c r="E26">
        <v>3</v>
      </c>
    </row>
    <row r="27" spans="1:5" x14ac:dyDescent="0.25">
      <c r="A27" t="s">
        <v>111</v>
      </c>
      <c r="B27" t="s">
        <v>88</v>
      </c>
      <c r="C27" t="s">
        <v>92</v>
      </c>
      <c r="D27">
        <v>0</v>
      </c>
      <c r="E27">
        <v>0</v>
      </c>
    </row>
    <row r="28" spans="1:5" x14ac:dyDescent="0.25">
      <c r="A28" t="s">
        <v>112</v>
      </c>
      <c r="B28" t="s">
        <v>82</v>
      </c>
      <c r="C28" t="s">
        <v>90</v>
      </c>
      <c r="D28">
        <v>2</v>
      </c>
      <c r="E28">
        <v>1</v>
      </c>
    </row>
    <row r="29" spans="1:5" x14ac:dyDescent="0.25">
      <c r="A29" t="s">
        <v>112</v>
      </c>
      <c r="B29" t="s">
        <v>93</v>
      </c>
      <c r="C29" t="s">
        <v>96</v>
      </c>
      <c r="D29">
        <v>0</v>
      </c>
      <c r="E29">
        <v>3</v>
      </c>
    </row>
    <row r="30" spans="1:5" x14ac:dyDescent="0.25">
      <c r="A30" t="s">
        <v>112</v>
      </c>
      <c r="B30" t="s">
        <v>89</v>
      </c>
      <c r="C30" t="s">
        <v>78</v>
      </c>
      <c r="D30">
        <v>1</v>
      </c>
      <c r="E30">
        <v>0</v>
      </c>
    </row>
    <row r="31" spans="1:5" x14ac:dyDescent="0.25">
      <c r="A31" t="s">
        <v>112</v>
      </c>
      <c r="B31" t="s">
        <v>79</v>
      </c>
      <c r="C31" t="s">
        <v>85</v>
      </c>
      <c r="D31">
        <v>0</v>
      </c>
      <c r="E31">
        <v>3</v>
      </c>
    </row>
    <row r="32" spans="1:5" x14ac:dyDescent="0.25">
      <c r="A32" t="s">
        <v>113</v>
      </c>
      <c r="B32" t="s">
        <v>78</v>
      </c>
      <c r="C32" t="s">
        <v>93</v>
      </c>
      <c r="D32">
        <v>3</v>
      </c>
      <c r="E32">
        <v>0</v>
      </c>
    </row>
    <row r="33" spans="1:5" x14ac:dyDescent="0.25">
      <c r="A33" t="s">
        <v>113</v>
      </c>
      <c r="B33" t="s">
        <v>80</v>
      </c>
      <c r="C33" t="s">
        <v>82</v>
      </c>
      <c r="D33">
        <v>2</v>
      </c>
      <c r="E33">
        <v>1</v>
      </c>
    </row>
    <row r="34" spans="1:5" x14ac:dyDescent="0.25">
      <c r="A34" t="s">
        <v>113</v>
      </c>
      <c r="B34" t="s">
        <v>85</v>
      </c>
      <c r="C34" t="s">
        <v>94</v>
      </c>
      <c r="D34">
        <v>0</v>
      </c>
      <c r="E34">
        <v>0</v>
      </c>
    </row>
    <row r="35" spans="1:5" x14ac:dyDescent="0.25">
      <c r="A35" t="s">
        <v>113</v>
      </c>
      <c r="B35" t="s">
        <v>86</v>
      </c>
      <c r="C35" t="s">
        <v>79</v>
      </c>
      <c r="D35">
        <v>0</v>
      </c>
      <c r="E35">
        <v>0</v>
      </c>
    </row>
    <row r="36" spans="1:5" x14ac:dyDescent="0.25">
      <c r="A36" t="s">
        <v>113</v>
      </c>
      <c r="B36" t="s">
        <v>87</v>
      </c>
      <c r="C36" t="s">
        <v>88</v>
      </c>
      <c r="D36">
        <v>1</v>
      </c>
      <c r="E36">
        <v>0</v>
      </c>
    </row>
    <row r="37" spans="1:5" x14ac:dyDescent="0.25">
      <c r="A37" t="s">
        <v>113</v>
      </c>
      <c r="B37" t="s">
        <v>92</v>
      </c>
      <c r="C37" t="s">
        <v>97</v>
      </c>
      <c r="D37">
        <v>1</v>
      </c>
      <c r="E37">
        <v>0</v>
      </c>
    </row>
    <row r="38" spans="1:5" x14ac:dyDescent="0.25">
      <c r="A38" t="s">
        <v>113</v>
      </c>
      <c r="B38" t="s">
        <v>96</v>
      </c>
      <c r="C38" t="s">
        <v>95</v>
      </c>
      <c r="D38">
        <v>0</v>
      </c>
      <c r="E38">
        <v>3</v>
      </c>
    </row>
    <row r="39" spans="1:5" x14ac:dyDescent="0.25">
      <c r="A39" t="s">
        <v>113</v>
      </c>
      <c r="B39" t="s">
        <v>81</v>
      </c>
      <c r="C39" t="s">
        <v>84</v>
      </c>
      <c r="D39">
        <v>2</v>
      </c>
      <c r="E39">
        <v>2</v>
      </c>
    </row>
    <row r="40" spans="1:5" x14ac:dyDescent="0.25">
      <c r="A40" t="s">
        <v>114</v>
      </c>
      <c r="B40" t="s">
        <v>83</v>
      </c>
      <c r="C40" t="s">
        <v>89</v>
      </c>
      <c r="D40">
        <v>0</v>
      </c>
      <c r="E40">
        <v>1</v>
      </c>
    </row>
    <row r="41" spans="1:5" x14ac:dyDescent="0.25">
      <c r="A41" t="s">
        <v>114</v>
      </c>
      <c r="B41" t="s">
        <v>90</v>
      </c>
      <c r="C41" t="s">
        <v>91</v>
      </c>
      <c r="D41">
        <v>3</v>
      </c>
      <c r="E41">
        <v>0</v>
      </c>
    </row>
    <row r="42" spans="1:5" x14ac:dyDescent="0.25">
      <c r="A42" t="s">
        <v>115</v>
      </c>
      <c r="B42" t="s">
        <v>89</v>
      </c>
      <c r="C42" t="s">
        <v>86</v>
      </c>
      <c r="D42">
        <v>2</v>
      </c>
      <c r="E42">
        <v>1</v>
      </c>
    </row>
    <row r="43" spans="1:5" x14ac:dyDescent="0.25">
      <c r="A43" t="s">
        <v>115</v>
      </c>
      <c r="B43" t="s">
        <v>82</v>
      </c>
      <c r="C43" t="s">
        <v>95</v>
      </c>
      <c r="D43">
        <v>2</v>
      </c>
      <c r="E43">
        <v>2</v>
      </c>
    </row>
    <row r="44" spans="1:5" x14ac:dyDescent="0.25">
      <c r="A44" t="s">
        <v>115</v>
      </c>
      <c r="B44" t="s">
        <v>83</v>
      </c>
      <c r="C44" t="s">
        <v>93</v>
      </c>
      <c r="D44">
        <v>1</v>
      </c>
      <c r="E44">
        <v>1</v>
      </c>
    </row>
    <row r="45" spans="1:5" x14ac:dyDescent="0.25">
      <c r="A45" t="s">
        <v>115</v>
      </c>
      <c r="B45" t="s">
        <v>96</v>
      </c>
      <c r="C45" t="s">
        <v>85</v>
      </c>
      <c r="D45">
        <v>1</v>
      </c>
      <c r="E45">
        <v>2</v>
      </c>
    </row>
    <row r="46" spans="1:5" x14ac:dyDescent="0.25">
      <c r="A46" t="s">
        <v>115</v>
      </c>
      <c r="B46" t="s">
        <v>97</v>
      </c>
      <c r="C46" t="s">
        <v>88</v>
      </c>
      <c r="D46">
        <v>1</v>
      </c>
      <c r="E46">
        <v>3</v>
      </c>
    </row>
    <row r="47" spans="1:5" x14ac:dyDescent="0.25">
      <c r="A47" t="s">
        <v>115</v>
      </c>
      <c r="B47" t="s">
        <v>91</v>
      </c>
      <c r="C47" t="s">
        <v>84</v>
      </c>
      <c r="D47">
        <v>2</v>
      </c>
      <c r="E47">
        <v>1</v>
      </c>
    </row>
    <row r="48" spans="1:5" x14ac:dyDescent="0.25">
      <c r="A48" t="s">
        <v>115</v>
      </c>
      <c r="B48" t="s">
        <v>87</v>
      </c>
      <c r="C48" t="s">
        <v>81</v>
      </c>
      <c r="D48">
        <v>3</v>
      </c>
      <c r="E48">
        <v>1</v>
      </c>
    </row>
    <row r="49" spans="1:5" x14ac:dyDescent="0.25">
      <c r="A49" t="s">
        <v>116</v>
      </c>
      <c r="B49" t="s">
        <v>80</v>
      </c>
      <c r="C49" t="s">
        <v>92</v>
      </c>
      <c r="D49">
        <v>0</v>
      </c>
      <c r="E49">
        <v>0</v>
      </c>
    </row>
    <row r="50" spans="1:5" x14ac:dyDescent="0.25">
      <c r="A50" t="s">
        <v>116</v>
      </c>
      <c r="B50" t="s">
        <v>94</v>
      </c>
      <c r="C50" t="s">
        <v>79</v>
      </c>
      <c r="D50">
        <v>1</v>
      </c>
      <c r="E50">
        <v>1</v>
      </c>
    </row>
    <row r="51" spans="1:5" x14ac:dyDescent="0.25">
      <c r="A51" t="s">
        <v>116</v>
      </c>
      <c r="B51" t="s">
        <v>78</v>
      </c>
      <c r="C51" t="s">
        <v>90</v>
      </c>
      <c r="D51">
        <v>1</v>
      </c>
      <c r="E51">
        <v>1</v>
      </c>
    </row>
    <row r="52" spans="1:5" x14ac:dyDescent="0.25">
      <c r="A52" t="s">
        <v>117</v>
      </c>
      <c r="B52" t="s">
        <v>81</v>
      </c>
      <c r="C52" t="s">
        <v>91</v>
      </c>
      <c r="D52">
        <v>3</v>
      </c>
      <c r="E52">
        <v>1</v>
      </c>
    </row>
    <row r="53" spans="1:5" x14ac:dyDescent="0.25">
      <c r="A53" t="s">
        <v>117</v>
      </c>
      <c r="B53" t="s">
        <v>84</v>
      </c>
      <c r="C53" t="s">
        <v>82</v>
      </c>
      <c r="D53">
        <v>1</v>
      </c>
      <c r="E53">
        <v>3</v>
      </c>
    </row>
    <row r="54" spans="1:5" x14ac:dyDescent="0.25">
      <c r="A54" t="s">
        <v>117</v>
      </c>
      <c r="B54" t="s">
        <v>85</v>
      </c>
      <c r="C54" t="s">
        <v>89</v>
      </c>
      <c r="D54">
        <v>2</v>
      </c>
      <c r="E54">
        <v>1</v>
      </c>
    </row>
    <row r="55" spans="1:5" x14ac:dyDescent="0.25">
      <c r="A55" t="s">
        <v>117</v>
      </c>
      <c r="B55" t="s">
        <v>88</v>
      </c>
      <c r="C55" t="s">
        <v>80</v>
      </c>
      <c r="D55">
        <v>2</v>
      </c>
      <c r="E55">
        <v>2</v>
      </c>
    </row>
    <row r="56" spans="1:5" x14ac:dyDescent="0.25">
      <c r="A56" t="s">
        <v>117</v>
      </c>
      <c r="B56" t="s">
        <v>90</v>
      </c>
      <c r="C56" t="s">
        <v>83</v>
      </c>
      <c r="D56">
        <v>5</v>
      </c>
      <c r="E56">
        <v>1</v>
      </c>
    </row>
    <row r="57" spans="1:5" x14ac:dyDescent="0.25">
      <c r="A57" t="s">
        <v>117</v>
      </c>
      <c r="B57" t="s">
        <v>93</v>
      </c>
      <c r="C57" t="s">
        <v>94</v>
      </c>
      <c r="D57">
        <v>0</v>
      </c>
      <c r="E57">
        <v>1</v>
      </c>
    </row>
    <row r="58" spans="1:5" x14ac:dyDescent="0.25">
      <c r="A58" t="s">
        <v>117</v>
      </c>
      <c r="B58" t="s">
        <v>95</v>
      </c>
      <c r="C58" t="s">
        <v>97</v>
      </c>
      <c r="D58">
        <v>1</v>
      </c>
      <c r="E58">
        <v>1</v>
      </c>
    </row>
    <row r="59" spans="1:5" x14ac:dyDescent="0.25">
      <c r="A59" t="s">
        <v>118</v>
      </c>
      <c r="B59" t="s">
        <v>79</v>
      </c>
      <c r="C59" t="s">
        <v>87</v>
      </c>
      <c r="D59">
        <v>3</v>
      </c>
      <c r="E59">
        <v>1</v>
      </c>
    </row>
    <row r="60" spans="1:5" x14ac:dyDescent="0.25">
      <c r="A60" t="s">
        <v>118</v>
      </c>
      <c r="B60" t="s">
        <v>92</v>
      </c>
      <c r="C60" t="s">
        <v>78</v>
      </c>
      <c r="D60">
        <v>1</v>
      </c>
      <c r="E60">
        <v>2</v>
      </c>
    </row>
    <row r="61" spans="1:5" x14ac:dyDescent="0.25">
      <c r="A61" t="s">
        <v>119</v>
      </c>
      <c r="B61" t="s">
        <v>86</v>
      </c>
      <c r="C61" t="s">
        <v>96</v>
      </c>
      <c r="D61">
        <v>1</v>
      </c>
      <c r="E61">
        <v>1</v>
      </c>
    </row>
    <row r="62" spans="1:5" x14ac:dyDescent="0.25">
      <c r="A62" t="s">
        <v>120</v>
      </c>
      <c r="B62" t="s">
        <v>80</v>
      </c>
      <c r="C62" t="s">
        <v>87</v>
      </c>
      <c r="D62">
        <v>3</v>
      </c>
      <c r="E62">
        <v>1</v>
      </c>
    </row>
    <row r="63" spans="1:5" x14ac:dyDescent="0.25">
      <c r="A63" t="s">
        <v>121</v>
      </c>
      <c r="B63" t="s">
        <v>88</v>
      </c>
      <c r="C63" t="s">
        <v>95</v>
      </c>
      <c r="D63">
        <v>1</v>
      </c>
      <c r="E63">
        <v>2</v>
      </c>
    </row>
    <row r="64" spans="1:5" x14ac:dyDescent="0.25">
      <c r="A64" t="s">
        <v>121</v>
      </c>
      <c r="B64" t="s">
        <v>78</v>
      </c>
      <c r="C64" t="s">
        <v>96</v>
      </c>
      <c r="D64">
        <v>2</v>
      </c>
      <c r="E64">
        <v>0</v>
      </c>
    </row>
    <row r="65" spans="1:5" x14ac:dyDescent="0.25">
      <c r="A65" t="s">
        <v>121</v>
      </c>
      <c r="B65" t="s">
        <v>91</v>
      </c>
      <c r="C65" t="s">
        <v>94</v>
      </c>
      <c r="D65">
        <v>2</v>
      </c>
      <c r="E65">
        <v>0</v>
      </c>
    </row>
    <row r="66" spans="1:5" x14ac:dyDescent="0.25">
      <c r="A66" t="s">
        <v>121</v>
      </c>
      <c r="B66" t="s">
        <v>84</v>
      </c>
      <c r="C66" t="s">
        <v>89</v>
      </c>
      <c r="D66">
        <v>2</v>
      </c>
      <c r="E66">
        <v>1</v>
      </c>
    </row>
    <row r="67" spans="1:5" x14ac:dyDescent="0.25">
      <c r="A67" t="s">
        <v>122</v>
      </c>
      <c r="B67" t="s">
        <v>79</v>
      </c>
      <c r="C67" t="s">
        <v>83</v>
      </c>
      <c r="D67">
        <v>2</v>
      </c>
      <c r="E67">
        <v>1</v>
      </c>
    </row>
    <row r="68" spans="1:5" x14ac:dyDescent="0.25">
      <c r="A68" t="s">
        <v>122</v>
      </c>
      <c r="B68" t="s">
        <v>86</v>
      </c>
      <c r="C68" t="s">
        <v>85</v>
      </c>
      <c r="D68">
        <v>2</v>
      </c>
      <c r="E68">
        <v>1</v>
      </c>
    </row>
    <row r="69" spans="1:5" x14ac:dyDescent="0.25">
      <c r="A69" t="s">
        <v>122</v>
      </c>
      <c r="B69" t="s">
        <v>92</v>
      </c>
      <c r="C69" t="s">
        <v>93</v>
      </c>
      <c r="D69">
        <v>2</v>
      </c>
      <c r="E69">
        <v>0</v>
      </c>
    </row>
    <row r="70" spans="1:5" x14ac:dyDescent="0.25">
      <c r="A70" t="s">
        <v>122</v>
      </c>
      <c r="B70" t="s">
        <v>97</v>
      </c>
      <c r="C70" t="s">
        <v>82</v>
      </c>
      <c r="D70">
        <v>1</v>
      </c>
      <c r="E70">
        <v>1</v>
      </c>
    </row>
    <row r="71" spans="1:5" x14ac:dyDescent="0.25">
      <c r="A71" t="s">
        <v>122</v>
      </c>
      <c r="B71" t="s">
        <v>81</v>
      </c>
      <c r="C71" t="s">
        <v>90</v>
      </c>
      <c r="D71">
        <v>0</v>
      </c>
      <c r="E71">
        <v>1</v>
      </c>
    </row>
    <row r="72" spans="1:5" x14ac:dyDescent="0.25">
      <c r="A72" t="s">
        <v>123</v>
      </c>
      <c r="B72" t="s">
        <v>93</v>
      </c>
      <c r="C72" t="s">
        <v>84</v>
      </c>
      <c r="D72">
        <v>0</v>
      </c>
      <c r="E72">
        <v>3</v>
      </c>
    </row>
    <row r="73" spans="1:5" x14ac:dyDescent="0.25">
      <c r="A73" t="s">
        <v>123</v>
      </c>
      <c r="B73" t="s">
        <v>82</v>
      </c>
      <c r="C73" t="s">
        <v>92</v>
      </c>
      <c r="D73">
        <v>2</v>
      </c>
      <c r="E73">
        <v>1</v>
      </c>
    </row>
    <row r="74" spans="1:5" x14ac:dyDescent="0.25">
      <c r="A74" t="s">
        <v>123</v>
      </c>
      <c r="B74" t="s">
        <v>83</v>
      </c>
      <c r="C74" t="s">
        <v>88</v>
      </c>
      <c r="D74">
        <v>2</v>
      </c>
      <c r="E74">
        <v>0</v>
      </c>
    </row>
    <row r="75" spans="1:5" x14ac:dyDescent="0.25">
      <c r="A75" t="s">
        <v>123</v>
      </c>
      <c r="B75" t="s">
        <v>85</v>
      </c>
      <c r="C75" t="s">
        <v>80</v>
      </c>
      <c r="D75">
        <v>3</v>
      </c>
      <c r="E75">
        <v>3</v>
      </c>
    </row>
    <row r="76" spans="1:5" x14ac:dyDescent="0.25">
      <c r="A76" t="s">
        <v>123</v>
      </c>
      <c r="B76" t="s">
        <v>90</v>
      </c>
      <c r="C76" t="s">
        <v>86</v>
      </c>
      <c r="D76">
        <v>2</v>
      </c>
      <c r="E76">
        <v>0</v>
      </c>
    </row>
    <row r="77" spans="1:5" x14ac:dyDescent="0.25">
      <c r="A77" t="s">
        <v>123</v>
      </c>
      <c r="B77" t="s">
        <v>94</v>
      </c>
      <c r="C77" t="s">
        <v>97</v>
      </c>
      <c r="D77">
        <v>2</v>
      </c>
      <c r="E77">
        <v>0</v>
      </c>
    </row>
    <row r="78" spans="1:5" x14ac:dyDescent="0.25">
      <c r="A78" t="s">
        <v>123</v>
      </c>
      <c r="B78" t="s">
        <v>87</v>
      </c>
      <c r="C78" t="s">
        <v>78</v>
      </c>
      <c r="D78">
        <v>0</v>
      </c>
      <c r="E78">
        <v>1</v>
      </c>
    </row>
    <row r="79" spans="1:5" x14ac:dyDescent="0.25">
      <c r="A79" t="s">
        <v>124</v>
      </c>
      <c r="B79" t="s">
        <v>95</v>
      </c>
      <c r="C79" t="s">
        <v>79</v>
      </c>
      <c r="D79">
        <v>1</v>
      </c>
      <c r="E79">
        <v>2</v>
      </c>
    </row>
    <row r="80" spans="1:5" x14ac:dyDescent="0.25">
      <c r="A80" t="s">
        <v>124</v>
      </c>
      <c r="B80" t="s">
        <v>89</v>
      </c>
      <c r="C80" t="s">
        <v>91</v>
      </c>
      <c r="D80">
        <v>1</v>
      </c>
      <c r="E80">
        <v>2</v>
      </c>
    </row>
    <row r="81" spans="1:5" x14ac:dyDescent="0.25">
      <c r="A81" t="s">
        <v>125</v>
      </c>
      <c r="B81" t="s">
        <v>96</v>
      </c>
      <c r="C81" t="s">
        <v>81</v>
      </c>
      <c r="D81">
        <v>0</v>
      </c>
      <c r="E81">
        <v>2</v>
      </c>
    </row>
    <row r="82" spans="1:5" x14ac:dyDescent="0.25">
      <c r="A82" t="s">
        <v>126</v>
      </c>
      <c r="B82" t="s">
        <v>88</v>
      </c>
      <c r="C82" t="s">
        <v>96</v>
      </c>
      <c r="D82">
        <v>2</v>
      </c>
      <c r="E82">
        <v>1</v>
      </c>
    </row>
    <row r="83" spans="1:5" x14ac:dyDescent="0.25">
      <c r="A83" t="s">
        <v>127</v>
      </c>
      <c r="B83" t="s">
        <v>84</v>
      </c>
      <c r="C83" t="s">
        <v>94</v>
      </c>
      <c r="D83">
        <v>1</v>
      </c>
      <c r="E83">
        <v>2</v>
      </c>
    </row>
    <row r="84" spans="1:5" x14ac:dyDescent="0.25">
      <c r="A84" t="s">
        <v>127</v>
      </c>
      <c r="B84" t="s">
        <v>92</v>
      </c>
      <c r="C84" t="s">
        <v>87</v>
      </c>
      <c r="D84">
        <v>2</v>
      </c>
      <c r="E84">
        <v>1</v>
      </c>
    </row>
    <row r="85" spans="1:5" x14ac:dyDescent="0.25">
      <c r="A85" t="s">
        <v>127</v>
      </c>
      <c r="B85" t="s">
        <v>91</v>
      </c>
      <c r="C85" t="s">
        <v>82</v>
      </c>
      <c r="D85">
        <v>4</v>
      </c>
      <c r="E85">
        <v>2</v>
      </c>
    </row>
    <row r="86" spans="1:5" x14ac:dyDescent="0.25">
      <c r="A86" t="s">
        <v>127</v>
      </c>
      <c r="B86" t="s">
        <v>81</v>
      </c>
      <c r="C86" t="s">
        <v>89</v>
      </c>
      <c r="D86">
        <v>3</v>
      </c>
      <c r="E86">
        <v>2</v>
      </c>
    </row>
    <row r="87" spans="1:5" x14ac:dyDescent="0.25">
      <c r="A87" t="s">
        <v>128</v>
      </c>
      <c r="B87" t="s">
        <v>78</v>
      </c>
      <c r="C87" t="s">
        <v>85</v>
      </c>
      <c r="D87">
        <v>1</v>
      </c>
      <c r="E87">
        <v>0</v>
      </c>
    </row>
    <row r="88" spans="1:5" x14ac:dyDescent="0.25">
      <c r="A88" t="s">
        <v>128</v>
      </c>
      <c r="B88" t="s">
        <v>79</v>
      </c>
      <c r="C88" t="s">
        <v>90</v>
      </c>
      <c r="D88">
        <v>1</v>
      </c>
      <c r="E88">
        <v>0</v>
      </c>
    </row>
    <row r="89" spans="1:5" x14ac:dyDescent="0.25">
      <c r="A89" t="s">
        <v>128</v>
      </c>
      <c r="B89" t="s">
        <v>80</v>
      </c>
      <c r="C89" t="s">
        <v>93</v>
      </c>
      <c r="D89">
        <v>2</v>
      </c>
      <c r="E89">
        <v>0</v>
      </c>
    </row>
    <row r="90" spans="1:5" x14ac:dyDescent="0.25">
      <c r="A90" t="s">
        <v>128</v>
      </c>
      <c r="B90" t="s">
        <v>97</v>
      </c>
      <c r="C90" t="s">
        <v>83</v>
      </c>
      <c r="D90">
        <v>2</v>
      </c>
      <c r="E90">
        <v>3</v>
      </c>
    </row>
    <row r="91" spans="1:5" x14ac:dyDescent="0.25">
      <c r="A91" t="s">
        <v>128</v>
      </c>
      <c r="B91" t="s">
        <v>86</v>
      </c>
      <c r="C91" t="s">
        <v>95</v>
      </c>
      <c r="D91">
        <v>0</v>
      </c>
      <c r="E91">
        <v>3</v>
      </c>
    </row>
    <row r="92" spans="1:5" x14ac:dyDescent="0.25">
      <c r="A92" t="s">
        <v>129</v>
      </c>
      <c r="B92" t="s">
        <v>82</v>
      </c>
      <c r="C92" t="s">
        <v>88</v>
      </c>
      <c r="D92">
        <v>3</v>
      </c>
      <c r="E92">
        <v>0</v>
      </c>
    </row>
    <row r="93" spans="1:5" x14ac:dyDescent="0.25">
      <c r="A93" t="s">
        <v>129</v>
      </c>
      <c r="B93" t="s">
        <v>83</v>
      </c>
      <c r="C93" t="s">
        <v>78</v>
      </c>
      <c r="D93">
        <v>0</v>
      </c>
      <c r="E93">
        <v>2</v>
      </c>
    </row>
    <row r="94" spans="1:5" x14ac:dyDescent="0.25">
      <c r="A94" t="s">
        <v>129</v>
      </c>
      <c r="B94" t="s">
        <v>85</v>
      </c>
      <c r="C94" t="s">
        <v>81</v>
      </c>
      <c r="D94">
        <v>2</v>
      </c>
      <c r="E94">
        <v>0</v>
      </c>
    </row>
    <row r="95" spans="1:5" x14ac:dyDescent="0.25">
      <c r="A95" t="s">
        <v>129</v>
      </c>
      <c r="B95" t="s">
        <v>87</v>
      </c>
      <c r="C95" t="s">
        <v>97</v>
      </c>
      <c r="D95">
        <v>3</v>
      </c>
      <c r="E95">
        <v>0</v>
      </c>
    </row>
    <row r="96" spans="1:5" x14ac:dyDescent="0.25">
      <c r="A96" t="s">
        <v>129</v>
      </c>
      <c r="B96" t="s">
        <v>93</v>
      </c>
      <c r="C96" t="s">
        <v>91</v>
      </c>
      <c r="D96">
        <v>2</v>
      </c>
      <c r="E96">
        <v>2</v>
      </c>
    </row>
    <row r="97" spans="1:5" x14ac:dyDescent="0.25">
      <c r="A97" t="s">
        <v>129</v>
      </c>
      <c r="B97" t="s">
        <v>95</v>
      </c>
      <c r="C97" t="s">
        <v>84</v>
      </c>
      <c r="D97">
        <v>0</v>
      </c>
      <c r="E97">
        <v>1</v>
      </c>
    </row>
    <row r="98" spans="1:5" x14ac:dyDescent="0.25">
      <c r="A98" t="s">
        <v>129</v>
      </c>
      <c r="B98" t="s">
        <v>89</v>
      </c>
      <c r="C98" t="s">
        <v>79</v>
      </c>
      <c r="D98">
        <v>2</v>
      </c>
      <c r="E98">
        <v>0</v>
      </c>
    </row>
    <row r="99" spans="1:5" x14ac:dyDescent="0.25">
      <c r="A99" t="s">
        <v>130</v>
      </c>
      <c r="B99" t="s">
        <v>96</v>
      </c>
      <c r="C99" t="s">
        <v>92</v>
      </c>
      <c r="D99">
        <v>3</v>
      </c>
      <c r="E99">
        <v>1</v>
      </c>
    </row>
    <row r="100" spans="1:5" x14ac:dyDescent="0.25">
      <c r="A100" t="s">
        <v>130</v>
      </c>
      <c r="B100" t="s">
        <v>90</v>
      </c>
      <c r="C100" t="s">
        <v>80</v>
      </c>
      <c r="D100">
        <v>3</v>
      </c>
      <c r="E100">
        <v>1</v>
      </c>
    </row>
    <row r="101" spans="1:5" x14ac:dyDescent="0.25">
      <c r="A101" t="s">
        <v>131</v>
      </c>
      <c r="B101" t="s">
        <v>94</v>
      </c>
      <c r="C101" t="s">
        <v>86</v>
      </c>
      <c r="D101">
        <v>1</v>
      </c>
      <c r="E101">
        <v>1</v>
      </c>
    </row>
    <row r="102" spans="1:5" x14ac:dyDescent="0.25">
      <c r="A102" t="s">
        <v>132</v>
      </c>
      <c r="B102" t="s">
        <v>95</v>
      </c>
      <c r="C102" t="s">
        <v>91</v>
      </c>
      <c r="D102">
        <v>2</v>
      </c>
      <c r="E102">
        <v>2</v>
      </c>
    </row>
    <row r="103" spans="1:5" x14ac:dyDescent="0.25">
      <c r="A103" t="s">
        <v>132</v>
      </c>
      <c r="B103" t="s">
        <v>86</v>
      </c>
      <c r="C103" t="s">
        <v>87</v>
      </c>
      <c r="D103">
        <v>2</v>
      </c>
      <c r="E103">
        <v>0</v>
      </c>
    </row>
    <row r="104" spans="1:5" x14ac:dyDescent="0.25">
      <c r="A104" t="s">
        <v>132</v>
      </c>
      <c r="B104" t="s">
        <v>96</v>
      </c>
      <c r="C104" t="s">
        <v>83</v>
      </c>
      <c r="D104">
        <v>3</v>
      </c>
      <c r="E104">
        <v>2</v>
      </c>
    </row>
    <row r="105" spans="1:5" x14ac:dyDescent="0.25">
      <c r="A105" t="s">
        <v>132</v>
      </c>
      <c r="B105" t="s">
        <v>94</v>
      </c>
      <c r="C105" t="s">
        <v>78</v>
      </c>
      <c r="D105">
        <v>2</v>
      </c>
      <c r="E105">
        <v>2</v>
      </c>
    </row>
    <row r="106" spans="1:5" x14ac:dyDescent="0.25">
      <c r="A106" t="s">
        <v>132</v>
      </c>
      <c r="B106" t="s">
        <v>84</v>
      </c>
      <c r="C106" t="s">
        <v>97</v>
      </c>
      <c r="D106">
        <v>3</v>
      </c>
      <c r="E106">
        <v>0</v>
      </c>
    </row>
    <row r="107" spans="1:5" x14ac:dyDescent="0.25">
      <c r="A107" t="s">
        <v>133</v>
      </c>
      <c r="B107" t="s">
        <v>79</v>
      </c>
      <c r="C107" t="s">
        <v>80</v>
      </c>
      <c r="D107">
        <v>4</v>
      </c>
      <c r="E107">
        <v>0</v>
      </c>
    </row>
    <row r="108" spans="1:5" x14ac:dyDescent="0.25">
      <c r="A108" t="s">
        <v>133</v>
      </c>
      <c r="B108" t="s">
        <v>81</v>
      </c>
      <c r="C108" t="s">
        <v>92</v>
      </c>
      <c r="D108">
        <v>3</v>
      </c>
      <c r="E108">
        <v>1</v>
      </c>
    </row>
    <row r="109" spans="1:5" x14ac:dyDescent="0.25">
      <c r="A109" t="s">
        <v>133</v>
      </c>
      <c r="B109" t="s">
        <v>85</v>
      </c>
      <c r="C109" t="s">
        <v>82</v>
      </c>
      <c r="D109">
        <v>0</v>
      </c>
      <c r="E109">
        <v>0</v>
      </c>
    </row>
    <row r="110" spans="1:5" x14ac:dyDescent="0.25">
      <c r="A110" t="s">
        <v>133</v>
      </c>
      <c r="B110" t="s">
        <v>93</v>
      </c>
      <c r="C110" t="s">
        <v>88</v>
      </c>
      <c r="D110">
        <v>3</v>
      </c>
      <c r="E110">
        <v>1</v>
      </c>
    </row>
    <row r="111" spans="1:5" x14ac:dyDescent="0.25">
      <c r="A111" t="s">
        <v>133</v>
      </c>
      <c r="B111" t="s">
        <v>90</v>
      </c>
      <c r="C111" t="s">
        <v>89</v>
      </c>
      <c r="D111">
        <v>3</v>
      </c>
      <c r="E111">
        <v>0</v>
      </c>
    </row>
    <row r="112" spans="1:5" x14ac:dyDescent="0.25">
      <c r="A112" t="s">
        <v>134</v>
      </c>
      <c r="B112" t="s">
        <v>83</v>
      </c>
      <c r="C112" t="s">
        <v>84</v>
      </c>
      <c r="D112">
        <v>0</v>
      </c>
      <c r="E112">
        <v>2</v>
      </c>
    </row>
    <row r="113" spans="1:5" x14ac:dyDescent="0.25">
      <c r="A113" t="s">
        <v>134</v>
      </c>
      <c r="B113" t="s">
        <v>80</v>
      </c>
      <c r="C113" t="s">
        <v>96</v>
      </c>
      <c r="D113">
        <v>2</v>
      </c>
      <c r="E113">
        <v>2</v>
      </c>
    </row>
    <row r="114" spans="1:5" x14ac:dyDescent="0.25">
      <c r="A114" t="s">
        <v>134</v>
      </c>
      <c r="B114" t="s">
        <v>82</v>
      </c>
      <c r="C114" t="s">
        <v>81</v>
      </c>
      <c r="D114">
        <v>2</v>
      </c>
      <c r="E114">
        <v>1</v>
      </c>
    </row>
    <row r="115" spans="1:5" x14ac:dyDescent="0.25">
      <c r="A115" t="s">
        <v>134</v>
      </c>
      <c r="B115" t="s">
        <v>87</v>
      </c>
      <c r="C115" t="s">
        <v>94</v>
      </c>
      <c r="D115">
        <v>1</v>
      </c>
      <c r="E115">
        <v>0</v>
      </c>
    </row>
    <row r="116" spans="1:5" x14ac:dyDescent="0.25">
      <c r="A116" t="s">
        <v>134</v>
      </c>
      <c r="B116" t="s">
        <v>89</v>
      </c>
      <c r="C116" t="s">
        <v>93</v>
      </c>
      <c r="D116">
        <v>0</v>
      </c>
      <c r="E116">
        <v>3</v>
      </c>
    </row>
    <row r="117" spans="1:5" x14ac:dyDescent="0.25">
      <c r="A117" t="s">
        <v>134</v>
      </c>
      <c r="B117" t="s">
        <v>97</v>
      </c>
      <c r="C117" t="s">
        <v>85</v>
      </c>
      <c r="D117">
        <v>0</v>
      </c>
      <c r="E117">
        <v>2</v>
      </c>
    </row>
    <row r="118" spans="1:5" x14ac:dyDescent="0.25">
      <c r="A118" t="s">
        <v>134</v>
      </c>
      <c r="B118" t="s">
        <v>92</v>
      </c>
      <c r="C118" t="s">
        <v>90</v>
      </c>
      <c r="D118">
        <v>2</v>
      </c>
      <c r="E118">
        <v>1</v>
      </c>
    </row>
    <row r="119" spans="1:5" x14ac:dyDescent="0.25">
      <c r="A119" t="s">
        <v>135</v>
      </c>
      <c r="B119" t="s">
        <v>88</v>
      </c>
      <c r="C119" t="s">
        <v>79</v>
      </c>
      <c r="D119">
        <v>1</v>
      </c>
      <c r="E119">
        <v>2</v>
      </c>
    </row>
    <row r="120" spans="1:5" x14ac:dyDescent="0.25">
      <c r="A120" t="s">
        <v>135</v>
      </c>
      <c r="B120" t="s">
        <v>78</v>
      </c>
      <c r="C120" t="s">
        <v>95</v>
      </c>
      <c r="D120">
        <v>4</v>
      </c>
      <c r="E120">
        <v>1</v>
      </c>
    </row>
    <row r="121" spans="1:5" x14ac:dyDescent="0.25">
      <c r="A121" t="s">
        <v>136</v>
      </c>
      <c r="B121" t="s">
        <v>91</v>
      </c>
      <c r="C121" t="s">
        <v>86</v>
      </c>
      <c r="D121">
        <v>0</v>
      </c>
      <c r="E121">
        <v>1</v>
      </c>
    </row>
    <row r="122" spans="1:5" x14ac:dyDescent="0.25">
      <c r="A122" t="s">
        <v>137</v>
      </c>
      <c r="B122" t="s">
        <v>81</v>
      </c>
      <c r="C122" t="s">
        <v>83</v>
      </c>
      <c r="D122">
        <v>3</v>
      </c>
      <c r="E122">
        <v>1</v>
      </c>
    </row>
    <row r="123" spans="1:5" x14ac:dyDescent="0.25">
      <c r="A123" t="s">
        <v>137</v>
      </c>
      <c r="B123" t="s">
        <v>90</v>
      </c>
      <c r="C123" t="s">
        <v>88</v>
      </c>
      <c r="D123">
        <v>3</v>
      </c>
      <c r="E123">
        <v>2</v>
      </c>
    </row>
    <row r="124" spans="1:5" x14ac:dyDescent="0.25">
      <c r="A124" t="s">
        <v>137</v>
      </c>
      <c r="B124" t="s">
        <v>94</v>
      </c>
      <c r="C124" t="s">
        <v>80</v>
      </c>
      <c r="D124">
        <v>3</v>
      </c>
      <c r="E124">
        <v>2</v>
      </c>
    </row>
    <row r="125" spans="1:5" x14ac:dyDescent="0.25">
      <c r="A125" t="s">
        <v>137</v>
      </c>
      <c r="B125" t="s">
        <v>86</v>
      </c>
      <c r="C125" t="s">
        <v>92</v>
      </c>
      <c r="D125">
        <v>1</v>
      </c>
      <c r="E125">
        <v>4</v>
      </c>
    </row>
    <row r="126" spans="1:5" x14ac:dyDescent="0.25">
      <c r="A126" t="s">
        <v>137</v>
      </c>
      <c r="B126" t="s">
        <v>95</v>
      </c>
      <c r="C126" t="s">
        <v>87</v>
      </c>
      <c r="D126">
        <v>1</v>
      </c>
      <c r="E126">
        <v>2</v>
      </c>
    </row>
    <row r="127" spans="1:5" x14ac:dyDescent="0.25">
      <c r="A127" t="s">
        <v>138</v>
      </c>
      <c r="B127" t="s">
        <v>85</v>
      </c>
      <c r="C127" t="s">
        <v>91</v>
      </c>
      <c r="D127">
        <v>1</v>
      </c>
      <c r="E127">
        <v>2</v>
      </c>
    </row>
    <row r="128" spans="1:5" x14ac:dyDescent="0.25">
      <c r="A128" t="s">
        <v>138</v>
      </c>
      <c r="B128" t="s">
        <v>79</v>
      </c>
      <c r="C128" t="s">
        <v>97</v>
      </c>
      <c r="D128">
        <v>1</v>
      </c>
      <c r="E128">
        <v>0</v>
      </c>
    </row>
    <row r="129" spans="1:5" x14ac:dyDescent="0.25">
      <c r="A129" t="s">
        <v>138</v>
      </c>
      <c r="B129" t="s">
        <v>93</v>
      </c>
      <c r="C129" t="s">
        <v>82</v>
      </c>
      <c r="D129">
        <v>0</v>
      </c>
      <c r="E129">
        <v>2</v>
      </c>
    </row>
    <row r="130" spans="1:5" x14ac:dyDescent="0.25">
      <c r="A130" t="s">
        <v>138</v>
      </c>
      <c r="B130" t="s">
        <v>96</v>
      </c>
      <c r="C130" t="s">
        <v>89</v>
      </c>
      <c r="D130">
        <v>0</v>
      </c>
      <c r="E130">
        <v>2</v>
      </c>
    </row>
    <row r="131" spans="1:5" x14ac:dyDescent="0.25">
      <c r="A131" t="s">
        <v>138</v>
      </c>
      <c r="B131" t="s">
        <v>84</v>
      </c>
      <c r="C131" t="s">
        <v>78</v>
      </c>
      <c r="D131">
        <v>1</v>
      </c>
      <c r="E131">
        <v>1</v>
      </c>
    </row>
    <row r="132" spans="1:5" x14ac:dyDescent="0.25">
      <c r="A132" t="s">
        <v>139</v>
      </c>
      <c r="B132" t="s">
        <v>80</v>
      </c>
      <c r="C132" t="s">
        <v>86</v>
      </c>
      <c r="D132">
        <v>0</v>
      </c>
      <c r="E132">
        <v>1</v>
      </c>
    </row>
    <row r="133" spans="1:5" x14ac:dyDescent="0.25">
      <c r="A133" t="s">
        <v>139</v>
      </c>
      <c r="B133" t="s">
        <v>87</v>
      </c>
      <c r="C133" t="s">
        <v>90</v>
      </c>
      <c r="D133">
        <v>4</v>
      </c>
      <c r="E133">
        <v>5</v>
      </c>
    </row>
    <row r="134" spans="1:5" x14ac:dyDescent="0.25">
      <c r="A134" t="s">
        <v>139</v>
      </c>
      <c r="B134" t="s">
        <v>92</v>
      </c>
      <c r="C134" t="s">
        <v>95</v>
      </c>
      <c r="D134">
        <v>2</v>
      </c>
      <c r="E134">
        <v>2</v>
      </c>
    </row>
    <row r="135" spans="1:5" x14ac:dyDescent="0.25">
      <c r="A135" t="s">
        <v>140</v>
      </c>
      <c r="B135" t="s">
        <v>78</v>
      </c>
      <c r="C135" t="s">
        <v>81</v>
      </c>
      <c r="D135">
        <v>2</v>
      </c>
      <c r="E135">
        <v>0</v>
      </c>
    </row>
    <row r="136" spans="1:5" x14ac:dyDescent="0.25">
      <c r="A136" t="s">
        <v>140</v>
      </c>
      <c r="B136" t="s">
        <v>82</v>
      </c>
      <c r="C136" t="s">
        <v>79</v>
      </c>
      <c r="D136">
        <v>3</v>
      </c>
      <c r="E136">
        <v>4</v>
      </c>
    </row>
    <row r="137" spans="1:5" x14ac:dyDescent="0.25">
      <c r="A137" t="s">
        <v>140</v>
      </c>
      <c r="B137" t="s">
        <v>83</v>
      </c>
      <c r="C137" t="s">
        <v>85</v>
      </c>
      <c r="D137">
        <v>0</v>
      </c>
      <c r="E137">
        <v>1</v>
      </c>
    </row>
    <row r="138" spans="1:5" x14ac:dyDescent="0.25">
      <c r="A138" t="s">
        <v>140</v>
      </c>
      <c r="B138" t="s">
        <v>97</v>
      </c>
      <c r="C138" t="s">
        <v>93</v>
      </c>
      <c r="D138">
        <v>0</v>
      </c>
      <c r="E138">
        <v>1</v>
      </c>
    </row>
    <row r="139" spans="1:5" x14ac:dyDescent="0.25">
      <c r="A139" t="s">
        <v>140</v>
      </c>
      <c r="B139" t="s">
        <v>88</v>
      </c>
      <c r="C139" t="s">
        <v>84</v>
      </c>
      <c r="D139">
        <v>3</v>
      </c>
      <c r="E139">
        <v>1</v>
      </c>
    </row>
    <row r="140" spans="1:5" x14ac:dyDescent="0.25">
      <c r="A140" t="s">
        <v>140</v>
      </c>
      <c r="B140" t="s">
        <v>89</v>
      </c>
      <c r="C140" t="s">
        <v>94</v>
      </c>
      <c r="D140">
        <v>1</v>
      </c>
      <c r="E140">
        <v>1</v>
      </c>
    </row>
    <row r="141" spans="1:5" x14ac:dyDescent="0.25">
      <c r="A141" t="s">
        <v>141</v>
      </c>
      <c r="B141" t="s">
        <v>91</v>
      </c>
      <c r="C141" t="s">
        <v>96</v>
      </c>
      <c r="D141">
        <v>1</v>
      </c>
      <c r="E141">
        <v>1</v>
      </c>
    </row>
    <row r="142" spans="1:5" x14ac:dyDescent="0.25">
      <c r="A142" t="s">
        <v>142</v>
      </c>
      <c r="B142" t="s">
        <v>79</v>
      </c>
      <c r="C142" t="s">
        <v>78</v>
      </c>
      <c r="D142">
        <v>2</v>
      </c>
      <c r="E142">
        <v>1</v>
      </c>
    </row>
    <row r="143" spans="1:5" x14ac:dyDescent="0.25">
      <c r="A143" t="s">
        <v>142</v>
      </c>
      <c r="B143" t="s">
        <v>80</v>
      </c>
      <c r="C143" t="s">
        <v>84</v>
      </c>
      <c r="D143">
        <v>0</v>
      </c>
      <c r="E143">
        <v>0</v>
      </c>
    </row>
    <row r="144" spans="1:5" x14ac:dyDescent="0.25">
      <c r="A144" t="s">
        <v>142</v>
      </c>
      <c r="B144" t="s">
        <v>86</v>
      </c>
      <c r="C144" t="s">
        <v>93</v>
      </c>
      <c r="D144">
        <v>3</v>
      </c>
      <c r="E144">
        <v>0</v>
      </c>
    </row>
    <row r="145" spans="1:5" x14ac:dyDescent="0.25">
      <c r="A145" t="s">
        <v>142</v>
      </c>
      <c r="B145" t="s">
        <v>90</v>
      </c>
      <c r="C145" t="s">
        <v>94</v>
      </c>
      <c r="D145">
        <v>3</v>
      </c>
      <c r="E145">
        <v>0</v>
      </c>
    </row>
    <row r="146" spans="1:5" x14ac:dyDescent="0.25">
      <c r="A146" t="s">
        <v>142</v>
      </c>
      <c r="B146" t="s">
        <v>92</v>
      </c>
      <c r="C146" t="s">
        <v>83</v>
      </c>
      <c r="D146">
        <v>2</v>
      </c>
      <c r="E146">
        <v>1</v>
      </c>
    </row>
    <row r="147" spans="1:5" x14ac:dyDescent="0.25">
      <c r="A147" t="s">
        <v>142</v>
      </c>
      <c r="B147" t="s">
        <v>95</v>
      </c>
      <c r="C147" t="s">
        <v>81</v>
      </c>
      <c r="D147">
        <v>2</v>
      </c>
      <c r="E147">
        <v>0</v>
      </c>
    </row>
    <row r="148" spans="1:5" x14ac:dyDescent="0.25">
      <c r="A148" t="s">
        <v>142</v>
      </c>
      <c r="B148" t="s">
        <v>88</v>
      </c>
      <c r="C148" t="s">
        <v>89</v>
      </c>
      <c r="D148">
        <v>3</v>
      </c>
      <c r="E148">
        <v>3</v>
      </c>
    </row>
    <row r="149" spans="1:5" x14ac:dyDescent="0.25">
      <c r="A149" t="s">
        <v>143</v>
      </c>
      <c r="B149" t="s">
        <v>82</v>
      </c>
      <c r="C149" t="s">
        <v>96</v>
      </c>
      <c r="D149">
        <v>1</v>
      </c>
      <c r="E149">
        <v>1</v>
      </c>
    </row>
    <row r="150" spans="1:5" x14ac:dyDescent="0.25">
      <c r="A150" t="s">
        <v>143</v>
      </c>
      <c r="B150" t="s">
        <v>87</v>
      </c>
      <c r="C150" t="s">
        <v>85</v>
      </c>
      <c r="D150">
        <v>1</v>
      </c>
      <c r="E150">
        <v>2</v>
      </c>
    </row>
    <row r="151" spans="1:5" x14ac:dyDescent="0.25">
      <c r="A151" t="s">
        <v>144</v>
      </c>
      <c r="B151" t="s">
        <v>97</v>
      </c>
      <c r="C151" t="s">
        <v>91</v>
      </c>
      <c r="D151">
        <v>1</v>
      </c>
      <c r="E151">
        <v>4</v>
      </c>
    </row>
    <row r="152" spans="1:5" x14ac:dyDescent="0.25">
      <c r="A152" t="s">
        <v>145</v>
      </c>
      <c r="B152" t="s">
        <v>84</v>
      </c>
      <c r="C152" t="s">
        <v>86</v>
      </c>
      <c r="D152">
        <v>2</v>
      </c>
      <c r="E152">
        <v>0</v>
      </c>
    </row>
    <row r="153" spans="1:5" x14ac:dyDescent="0.25">
      <c r="A153" t="s">
        <v>145</v>
      </c>
      <c r="B153" t="s">
        <v>89</v>
      </c>
      <c r="C153" t="s">
        <v>82</v>
      </c>
      <c r="D153">
        <v>2</v>
      </c>
      <c r="E153">
        <v>0</v>
      </c>
    </row>
    <row r="154" spans="1:5" x14ac:dyDescent="0.25">
      <c r="A154" t="s">
        <v>145</v>
      </c>
      <c r="B154" t="s">
        <v>83</v>
      </c>
      <c r="C154" t="s">
        <v>87</v>
      </c>
      <c r="D154">
        <v>2</v>
      </c>
      <c r="E154">
        <v>3</v>
      </c>
    </row>
    <row r="155" spans="1:5" x14ac:dyDescent="0.25">
      <c r="A155" t="s">
        <v>145</v>
      </c>
      <c r="B155" t="s">
        <v>78</v>
      </c>
      <c r="C155" t="s">
        <v>97</v>
      </c>
      <c r="D155">
        <v>2</v>
      </c>
      <c r="E155">
        <v>1</v>
      </c>
    </row>
    <row r="156" spans="1:5" x14ac:dyDescent="0.25">
      <c r="A156" t="s">
        <v>146</v>
      </c>
      <c r="B156" t="s">
        <v>85</v>
      </c>
      <c r="C156" t="s">
        <v>90</v>
      </c>
      <c r="D156">
        <v>0</v>
      </c>
      <c r="E156">
        <v>3</v>
      </c>
    </row>
    <row r="157" spans="1:5" x14ac:dyDescent="0.25">
      <c r="A157" t="s">
        <v>146</v>
      </c>
      <c r="B157" t="s">
        <v>93</v>
      </c>
      <c r="C157" t="s">
        <v>95</v>
      </c>
      <c r="D157">
        <v>3</v>
      </c>
      <c r="E157">
        <v>0</v>
      </c>
    </row>
    <row r="158" spans="1:5" x14ac:dyDescent="0.25">
      <c r="A158" t="s">
        <v>146</v>
      </c>
      <c r="B158" t="s">
        <v>94</v>
      </c>
      <c r="C158" t="s">
        <v>92</v>
      </c>
      <c r="D158">
        <v>1</v>
      </c>
      <c r="E158">
        <v>0</v>
      </c>
    </row>
    <row r="159" spans="1:5" x14ac:dyDescent="0.25">
      <c r="A159" t="s">
        <v>146</v>
      </c>
      <c r="B159" t="s">
        <v>96</v>
      </c>
      <c r="C159" t="s">
        <v>79</v>
      </c>
      <c r="D159">
        <v>2</v>
      </c>
      <c r="E159">
        <v>3</v>
      </c>
    </row>
    <row r="160" spans="1:5" x14ac:dyDescent="0.25">
      <c r="A160" t="s">
        <v>146</v>
      </c>
      <c r="B160" t="s">
        <v>81</v>
      </c>
      <c r="C160" t="s">
        <v>88</v>
      </c>
      <c r="D160">
        <v>1</v>
      </c>
      <c r="E160">
        <v>1</v>
      </c>
    </row>
    <row r="161" spans="1:5" x14ac:dyDescent="0.25">
      <c r="A161" t="s">
        <v>147</v>
      </c>
      <c r="B161" t="s">
        <v>91</v>
      </c>
      <c r="C161" t="s">
        <v>80</v>
      </c>
      <c r="D161">
        <v>4</v>
      </c>
      <c r="E161">
        <v>4</v>
      </c>
    </row>
    <row r="162" spans="1:5" x14ac:dyDescent="0.25">
      <c r="A162" t="s">
        <v>148</v>
      </c>
      <c r="B162" t="s">
        <v>92</v>
      </c>
      <c r="C162" t="s">
        <v>84</v>
      </c>
      <c r="D162">
        <v>2</v>
      </c>
      <c r="E162">
        <v>2</v>
      </c>
    </row>
    <row r="163" spans="1:5" x14ac:dyDescent="0.25">
      <c r="A163" t="s">
        <v>148</v>
      </c>
      <c r="B163" t="s">
        <v>80</v>
      </c>
      <c r="C163" t="s">
        <v>83</v>
      </c>
      <c r="D163">
        <v>1</v>
      </c>
      <c r="E163">
        <v>1</v>
      </c>
    </row>
    <row r="164" spans="1:5" x14ac:dyDescent="0.25">
      <c r="A164" t="s">
        <v>148</v>
      </c>
      <c r="B164" t="s">
        <v>82</v>
      </c>
      <c r="C164" t="s">
        <v>94</v>
      </c>
      <c r="D164">
        <v>0</v>
      </c>
      <c r="E164">
        <v>0</v>
      </c>
    </row>
    <row r="165" spans="1:5" x14ac:dyDescent="0.25">
      <c r="A165" t="s">
        <v>148</v>
      </c>
      <c r="B165" t="s">
        <v>90</v>
      </c>
      <c r="C165" t="s">
        <v>96</v>
      </c>
      <c r="D165">
        <v>3</v>
      </c>
      <c r="E165">
        <v>0</v>
      </c>
    </row>
    <row r="166" spans="1:5" x14ac:dyDescent="0.25">
      <c r="A166" t="s">
        <v>148</v>
      </c>
      <c r="B166" t="s">
        <v>97</v>
      </c>
      <c r="C166" t="s">
        <v>81</v>
      </c>
      <c r="D166">
        <v>0</v>
      </c>
      <c r="E166">
        <v>2</v>
      </c>
    </row>
    <row r="167" spans="1:5" x14ac:dyDescent="0.25">
      <c r="A167" t="s">
        <v>148</v>
      </c>
      <c r="B167" t="s">
        <v>95</v>
      </c>
      <c r="C167" t="s">
        <v>89</v>
      </c>
      <c r="D167">
        <v>1</v>
      </c>
      <c r="E167">
        <v>2</v>
      </c>
    </row>
    <row r="168" spans="1:5" x14ac:dyDescent="0.25">
      <c r="A168" t="s">
        <v>148</v>
      </c>
      <c r="B168" t="s">
        <v>86</v>
      </c>
      <c r="C168" t="s">
        <v>78</v>
      </c>
      <c r="D168">
        <v>0</v>
      </c>
      <c r="E168">
        <v>1</v>
      </c>
    </row>
    <row r="169" spans="1:5" x14ac:dyDescent="0.25">
      <c r="A169" t="s">
        <v>148</v>
      </c>
      <c r="B169" t="s">
        <v>88</v>
      </c>
      <c r="C169" t="s">
        <v>85</v>
      </c>
      <c r="D169">
        <v>4</v>
      </c>
      <c r="E169">
        <v>1</v>
      </c>
    </row>
    <row r="170" spans="1:5" x14ac:dyDescent="0.25">
      <c r="A170" t="s">
        <v>149</v>
      </c>
      <c r="B170" t="s">
        <v>79</v>
      </c>
      <c r="C170" t="s">
        <v>91</v>
      </c>
      <c r="D170">
        <v>2</v>
      </c>
      <c r="E170">
        <v>1</v>
      </c>
    </row>
    <row r="171" spans="1:5" x14ac:dyDescent="0.25">
      <c r="A171" t="s">
        <v>150</v>
      </c>
      <c r="B171" t="s">
        <v>87</v>
      </c>
      <c r="C171" t="s">
        <v>93</v>
      </c>
      <c r="D171">
        <v>1</v>
      </c>
      <c r="E171">
        <v>0</v>
      </c>
    </row>
    <row r="172" spans="1:5" x14ac:dyDescent="0.25">
      <c r="A172" t="s">
        <v>151</v>
      </c>
      <c r="B172" t="s">
        <v>91</v>
      </c>
      <c r="C172" t="s">
        <v>92</v>
      </c>
      <c r="D172">
        <v>1</v>
      </c>
      <c r="E172">
        <v>0</v>
      </c>
    </row>
    <row r="173" spans="1:5" x14ac:dyDescent="0.25">
      <c r="A173" t="s">
        <v>152</v>
      </c>
      <c r="B173" t="s">
        <v>93</v>
      </c>
      <c r="C173" t="s">
        <v>90</v>
      </c>
      <c r="D173">
        <v>1</v>
      </c>
      <c r="E173">
        <v>2</v>
      </c>
    </row>
    <row r="174" spans="1:5" x14ac:dyDescent="0.25">
      <c r="A174" t="s">
        <v>152</v>
      </c>
      <c r="B174" t="s">
        <v>78</v>
      </c>
      <c r="C174" t="s">
        <v>82</v>
      </c>
      <c r="D174">
        <v>2</v>
      </c>
      <c r="E174">
        <v>1</v>
      </c>
    </row>
    <row r="175" spans="1:5" x14ac:dyDescent="0.25">
      <c r="A175" t="s">
        <v>152</v>
      </c>
      <c r="B175" t="s">
        <v>81</v>
      </c>
      <c r="C175" t="s">
        <v>80</v>
      </c>
      <c r="D175">
        <v>4</v>
      </c>
      <c r="E175">
        <v>1</v>
      </c>
    </row>
    <row r="176" spans="1:5" x14ac:dyDescent="0.25">
      <c r="A176" t="s">
        <v>152</v>
      </c>
      <c r="B176" t="s">
        <v>83</v>
      </c>
      <c r="C176" t="s">
        <v>86</v>
      </c>
      <c r="D176">
        <v>0</v>
      </c>
      <c r="E176">
        <v>0</v>
      </c>
    </row>
    <row r="177" spans="1:5" x14ac:dyDescent="0.25">
      <c r="A177" t="s">
        <v>152</v>
      </c>
      <c r="B177" t="s">
        <v>89</v>
      </c>
      <c r="C177" t="s">
        <v>97</v>
      </c>
      <c r="D177">
        <v>2</v>
      </c>
      <c r="E177">
        <v>1</v>
      </c>
    </row>
    <row r="178" spans="1:5" x14ac:dyDescent="0.25">
      <c r="A178" t="s">
        <v>152</v>
      </c>
      <c r="B178" t="s">
        <v>96</v>
      </c>
      <c r="C178" t="s">
        <v>87</v>
      </c>
      <c r="D178">
        <v>0</v>
      </c>
      <c r="E178">
        <v>1</v>
      </c>
    </row>
    <row r="179" spans="1:5" x14ac:dyDescent="0.25">
      <c r="A179" t="s">
        <v>152</v>
      </c>
      <c r="B179" t="s">
        <v>84</v>
      </c>
      <c r="C179" t="s">
        <v>79</v>
      </c>
      <c r="D179">
        <v>1</v>
      </c>
      <c r="E179">
        <v>2</v>
      </c>
    </row>
    <row r="180" spans="1:5" x14ac:dyDescent="0.25">
      <c r="A180" t="s">
        <v>153</v>
      </c>
      <c r="B180" t="s">
        <v>94</v>
      </c>
      <c r="C180" t="s">
        <v>88</v>
      </c>
      <c r="D180">
        <v>1</v>
      </c>
      <c r="E180">
        <v>1</v>
      </c>
    </row>
    <row r="181" spans="1:5" x14ac:dyDescent="0.25">
      <c r="A181" t="s">
        <v>153</v>
      </c>
      <c r="B181" t="s">
        <v>85</v>
      </c>
      <c r="C181" t="s">
        <v>95</v>
      </c>
      <c r="D181">
        <v>0</v>
      </c>
      <c r="E181">
        <v>1</v>
      </c>
    </row>
    <row r="182" spans="1:5" x14ac:dyDescent="0.25">
      <c r="A182" t="s">
        <v>154</v>
      </c>
      <c r="B182" t="s">
        <v>83</v>
      </c>
      <c r="C182" t="s">
        <v>92</v>
      </c>
      <c r="D182">
        <v>1</v>
      </c>
      <c r="E182">
        <v>3</v>
      </c>
    </row>
    <row r="183" spans="1:5" x14ac:dyDescent="0.25">
      <c r="A183" t="s">
        <v>154</v>
      </c>
      <c r="B183" t="s">
        <v>84</v>
      </c>
      <c r="C183" t="s">
        <v>80</v>
      </c>
      <c r="D183">
        <v>2</v>
      </c>
      <c r="E183">
        <v>2</v>
      </c>
    </row>
    <row r="184" spans="1:5" x14ac:dyDescent="0.25">
      <c r="A184" t="s">
        <v>154</v>
      </c>
      <c r="B184" t="s">
        <v>93</v>
      </c>
      <c r="C184" t="s">
        <v>86</v>
      </c>
      <c r="D184">
        <v>0</v>
      </c>
      <c r="E184">
        <v>2</v>
      </c>
    </row>
    <row r="185" spans="1:5" x14ac:dyDescent="0.25">
      <c r="A185" t="s">
        <v>154</v>
      </c>
      <c r="B185" t="s">
        <v>96</v>
      </c>
      <c r="C185" t="s">
        <v>82</v>
      </c>
      <c r="D185">
        <v>2</v>
      </c>
      <c r="E185">
        <v>2</v>
      </c>
    </row>
    <row r="186" spans="1:5" x14ac:dyDescent="0.25">
      <c r="A186" t="s">
        <v>154</v>
      </c>
      <c r="B186" t="s">
        <v>78</v>
      </c>
      <c r="C186" t="s">
        <v>79</v>
      </c>
      <c r="D186">
        <v>4</v>
      </c>
      <c r="E186">
        <v>1</v>
      </c>
    </row>
    <row r="187" spans="1:5" x14ac:dyDescent="0.25">
      <c r="A187" t="s">
        <v>154</v>
      </c>
      <c r="B187" t="s">
        <v>91</v>
      </c>
      <c r="C187" t="s">
        <v>97</v>
      </c>
      <c r="D187">
        <v>1</v>
      </c>
      <c r="E187">
        <v>1</v>
      </c>
    </row>
    <row r="188" spans="1:5" x14ac:dyDescent="0.25">
      <c r="A188" t="s">
        <v>155</v>
      </c>
      <c r="B188" t="s">
        <v>85</v>
      </c>
      <c r="C188" t="s">
        <v>87</v>
      </c>
      <c r="D188">
        <v>1</v>
      </c>
      <c r="E188">
        <v>1</v>
      </c>
    </row>
    <row r="189" spans="1:5" x14ac:dyDescent="0.25">
      <c r="A189" t="s">
        <v>155</v>
      </c>
      <c r="B189" t="s">
        <v>89</v>
      </c>
      <c r="C189" t="s">
        <v>88</v>
      </c>
      <c r="D189">
        <v>0</v>
      </c>
      <c r="E189">
        <v>0</v>
      </c>
    </row>
    <row r="190" spans="1:5" x14ac:dyDescent="0.25">
      <c r="A190" t="s">
        <v>155</v>
      </c>
      <c r="B190" t="s">
        <v>81</v>
      </c>
      <c r="C190" t="s">
        <v>95</v>
      </c>
      <c r="D190">
        <v>0</v>
      </c>
      <c r="E190">
        <v>0</v>
      </c>
    </row>
    <row r="191" spans="1:5" x14ac:dyDescent="0.25">
      <c r="A191" t="s">
        <v>155</v>
      </c>
      <c r="B191" t="s">
        <v>94</v>
      </c>
      <c r="C191" t="s">
        <v>90</v>
      </c>
      <c r="D191">
        <v>0</v>
      </c>
      <c r="E191">
        <v>0</v>
      </c>
    </row>
    <row r="192" spans="1:5" x14ac:dyDescent="0.25">
      <c r="A192" t="s">
        <v>156</v>
      </c>
      <c r="B192" t="s">
        <v>79</v>
      </c>
      <c r="C192" t="s">
        <v>93</v>
      </c>
      <c r="D192">
        <v>3</v>
      </c>
      <c r="E192">
        <v>1</v>
      </c>
    </row>
    <row r="193" spans="1:5" x14ac:dyDescent="0.25">
      <c r="A193" t="s">
        <v>156</v>
      </c>
      <c r="B193" t="s">
        <v>82</v>
      </c>
      <c r="C193" t="s">
        <v>83</v>
      </c>
      <c r="D193">
        <v>2</v>
      </c>
      <c r="E193">
        <v>0</v>
      </c>
    </row>
    <row r="194" spans="1:5" x14ac:dyDescent="0.25">
      <c r="A194" t="s">
        <v>156</v>
      </c>
      <c r="B194" t="s">
        <v>97</v>
      </c>
      <c r="C194" t="s">
        <v>96</v>
      </c>
      <c r="D194">
        <v>3</v>
      </c>
      <c r="E194">
        <v>0</v>
      </c>
    </row>
    <row r="195" spans="1:5" x14ac:dyDescent="0.25">
      <c r="A195" t="s">
        <v>156</v>
      </c>
      <c r="B195" t="s">
        <v>80</v>
      </c>
      <c r="C195" t="s">
        <v>78</v>
      </c>
      <c r="D195">
        <v>2</v>
      </c>
      <c r="E195">
        <v>3</v>
      </c>
    </row>
    <row r="196" spans="1:5" x14ac:dyDescent="0.25">
      <c r="A196" t="s">
        <v>157</v>
      </c>
      <c r="B196" t="s">
        <v>88</v>
      </c>
      <c r="C196" t="s">
        <v>91</v>
      </c>
      <c r="D196">
        <v>1</v>
      </c>
      <c r="E196">
        <v>1</v>
      </c>
    </row>
    <row r="197" spans="1:5" x14ac:dyDescent="0.25">
      <c r="A197" t="s">
        <v>157</v>
      </c>
      <c r="B197" t="s">
        <v>86</v>
      </c>
      <c r="C197" t="s">
        <v>81</v>
      </c>
      <c r="D197">
        <v>2</v>
      </c>
      <c r="E197">
        <v>4</v>
      </c>
    </row>
    <row r="198" spans="1:5" x14ac:dyDescent="0.25">
      <c r="A198" t="s">
        <v>157</v>
      </c>
      <c r="B198" t="s">
        <v>92</v>
      </c>
      <c r="C198" t="s">
        <v>85</v>
      </c>
      <c r="D198">
        <v>2</v>
      </c>
      <c r="E198">
        <v>0</v>
      </c>
    </row>
    <row r="199" spans="1:5" x14ac:dyDescent="0.25">
      <c r="A199" t="s">
        <v>157</v>
      </c>
      <c r="B199" t="s">
        <v>95</v>
      </c>
      <c r="C199" t="s">
        <v>94</v>
      </c>
      <c r="D199">
        <v>1</v>
      </c>
      <c r="E199">
        <v>1</v>
      </c>
    </row>
    <row r="200" spans="1:5" x14ac:dyDescent="0.25">
      <c r="A200" t="s">
        <v>157</v>
      </c>
      <c r="B200" t="s">
        <v>87</v>
      </c>
      <c r="C200" t="s">
        <v>89</v>
      </c>
      <c r="D200">
        <v>2</v>
      </c>
      <c r="E200">
        <v>2</v>
      </c>
    </row>
    <row r="201" spans="1:5" x14ac:dyDescent="0.25">
      <c r="A201" t="s">
        <v>157</v>
      </c>
      <c r="B201" t="s">
        <v>90</v>
      </c>
      <c r="C201" t="s">
        <v>84</v>
      </c>
      <c r="D201">
        <v>1</v>
      </c>
      <c r="E201">
        <v>1</v>
      </c>
    </row>
    <row r="202" spans="1:5" x14ac:dyDescent="0.25">
      <c r="A202" t="s">
        <v>158</v>
      </c>
      <c r="B202" t="s">
        <v>96</v>
      </c>
      <c r="C202" t="s">
        <v>93</v>
      </c>
      <c r="D202">
        <v>1</v>
      </c>
      <c r="E202">
        <v>2</v>
      </c>
    </row>
    <row r="203" spans="1:5" x14ac:dyDescent="0.25">
      <c r="A203" t="s">
        <v>159</v>
      </c>
      <c r="B203" t="s">
        <v>80</v>
      </c>
      <c r="C203" t="s">
        <v>95</v>
      </c>
      <c r="D203">
        <v>3</v>
      </c>
      <c r="E203">
        <v>2</v>
      </c>
    </row>
    <row r="204" spans="1:5" x14ac:dyDescent="0.25">
      <c r="A204" t="s">
        <v>159</v>
      </c>
      <c r="B204" t="s">
        <v>81</v>
      </c>
      <c r="C204" t="s">
        <v>94</v>
      </c>
      <c r="D204">
        <v>3</v>
      </c>
      <c r="E204">
        <v>0</v>
      </c>
    </row>
    <row r="205" spans="1:5" x14ac:dyDescent="0.25">
      <c r="A205" t="s">
        <v>159</v>
      </c>
      <c r="B205" t="s">
        <v>85</v>
      </c>
      <c r="C205" t="s">
        <v>79</v>
      </c>
      <c r="D205">
        <v>0</v>
      </c>
      <c r="E205">
        <v>0</v>
      </c>
    </row>
    <row r="206" spans="1:5" x14ac:dyDescent="0.25">
      <c r="A206" t="s">
        <v>159</v>
      </c>
      <c r="B206" t="s">
        <v>86</v>
      </c>
      <c r="C206" t="s">
        <v>97</v>
      </c>
      <c r="D206">
        <v>1</v>
      </c>
      <c r="E206">
        <v>1</v>
      </c>
    </row>
    <row r="207" spans="1:5" x14ac:dyDescent="0.25">
      <c r="A207" t="s">
        <v>159</v>
      </c>
      <c r="B207" t="s">
        <v>87</v>
      </c>
      <c r="C207" t="s">
        <v>84</v>
      </c>
      <c r="D207">
        <v>2</v>
      </c>
      <c r="E207">
        <v>1</v>
      </c>
    </row>
    <row r="208" spans="1:5" x14ac:dyDescent="0.25">
      <c r="A208" t="s">
        <v>159</v>
      </c>
      <c r="B208" t="s">
        <v>90</v>
      </c>
      <c r="C208" t="s">
        <v>82</v>
      </c>
      <c r="D208">
        <v>1</v>
      </c>
      <c r="E208">
        <v>1</v>
      </c>
    </row>
    <row r="209" spans="1:5" x14ac:dyDescent="0.25">
      <c r="A209" t="s">
        <v>159</v>
      </c>
      <c r="B209" t="s">
        <v>83</v>
      </c>
      <c r="C209" t="s">
        <v>91</v>
      </c>
      <c r="D209">
        <v>2</v>
      </c>
      <c r="E209">
        <v>2</v>
      </c>
    </row>
    <row r="210" spans="1:5" x14ac:dyDescent="0.25">
      <c r="A210" t="s">
        <v>159</v>
      </c>
      <c r="B210" t="s">
        <v>92</v>
      </c>
      <c r="C210" t="s">
        <v>88</v>
      </c>
      <c r="D210">
        <v>4</v>
      </c>
      <c r="E210">
        <v>3</v>
      </c>
    </row>
    <row r="211" spans="1:5" x14ac:dyDescent="0.25">
      <c r="A211" t="s">
        <v>160</v>
      </c>
      <c r="B211" t="s">
        <v>78</v>
      </c>
      <c r="C211" t="s">
        <v>89</v>
      </c>
      <c r="D211">
        <v>0</v>
      </c>
      <c r="E211">
        <v>0</v>
      </c>
    </row>
    <row r="212" spans="1:5" x14ac:dyDescent="0.25">
      <c r="A212" t="s">
        <v>161</v>
      </c>
      <c r="B212" t="s">
        <v>91</v>
      </c>
      <c r="C212" t="s">
        <v>90</v>
      </c>
      <c r="D212">
        <v>2</v>
      </c>
      <c r="E212">
        <v>0</v>
      </c>
    </row>
    <row r="213" spans="1:5" x14ac:dyDescent="0.25">
      <c r="A213" t="s">
        <v>161</v>
      </c>
      <c r="B213" t="s">
        <v>84</v>
      </c>
      <c r="C213" t="s">
        <v>81</v>
      </c>
      <c r="D213">
        <v>2</v>
      </c>
      <c r="E213">
        <v>0</v>
      </c>
    </row>
    <row r="214" spans="1:5" x14ac:dyDescent="0.25">
      <c r="A214" t="s">
        <v>161</v>
      </c>
      <c r="B214" t="s">
        <v>88</v>
      </c>
      <c r="C214" t="s">
        <v>87</v>
      </c>
      <c r="D214">
        <v>1</v>
      </c>
      <c r="E214">
        <v>0</v>
      </c>
    </row>
    <row r="215" spans="1:5" x14ac:dyDescent="0.25">
      <c r="A215" t="s">
        <v>161</v>
      </c>
      <c r="B215" t="s">
        <v>89</v>
      </c>
      <c r="C215" t="s">
        <v>83</v>
      </c>
      <c r="D215">
        <v>1</v>
      </c>
      <c r="E215">
        <v>1</v>
      </c>
    </row>
    <row r="216" spans="1:5" x14ac:dyDescent="0.25">
      <c r="A216" t="s">
        <v>161</v>
      </c>
      <c r="B216" t="s">
        <v>94</v>
      </c>
      <c r="C216" t="s">
        <v>85</v>
      </c>
      <c r="D216">
        <v>2</v>
      </c>
      <c r="E216">
        <v>1</v>
      </c>
    </row>
    <row r="217" spans="1:5" x14ac:dyDescent="0.25">
      <c r="A217" t="s">
        <v>161</v>
      </c>
      <c r="B217" t="s">
        <v>95</v>
      </c>
      <c r="C217" t="s">
        <v>96</v>
      </c>
      <c r="D217">
        <v>1</v>
      </c>
      <c r="E217">
        <v>2</v>
      </c>
    </row>
    <row r="218" spans="1:5" x14ac:dyDescent="0.25">
      <c r="A218" t="s">
        <v>161</v>
      </c>
      <c r="B218" t="s">
        <v>93</v>
      </c>
      <c r="C218" t="s">
        <v>78</v>
      </c>
      <c r="D218">
        <v>0</v>
      </c>
      <c r="E218">
        <v>0</v>
      </c>
    </row>
    <row r="219" spans="1:5" x14ac:dyDescent="0.25">
      <c r="A219" t="s">
        <v>162</v>
      </c>
      <c r="B219" t="s">
        <v>97</v>
      </c>
      <c r="C219" t="s">
        <v>92</v>
      </c>
      <c r="D219">
        <v>0</v>
      </c>
      <c r="E219">
        <v>0</v>
      </c>
    </row>
    <row r="220" spans="1:5" x14ac:dyDescent="0.25">
      <c r="A220" t="s">
        <v>162</v>
      </c>
      <c r="B220" t="s">
        <v>79</v>
      </c>
      <c r="C220" t="s">
        <v>86</v>
      </c>
      <c r="D220">
        <v>0</v>
      </c>
      <c r="E220">
        <v>1</v>
      </c>
    </row>
    <row r="221" spans="1:5" x14ac:dyDescent="0.25">
      <c r="A221" t="s">
        <v>163</v>
      </c>
      <c r="B221" t="s">
        <v>82</v>
      </c>
      <c r="C221" t="s">
        <v>80</v>
      </c>
      <c r="D221">
        <v>1</v>
      </c>
      <c r="E221">
        <v>1</v>
      </c>
    </row>
    <row r="222" spans="1:5" x14ac:dyDescent="0.25">
      <c r="A222" t="s">
        <v>164</v>
      </c>
      <c r="B222" t="s">
        <v>96</v>
      </c>
      <c r="C222" t="s">
        <v>94</v>
      </c>
      <c r="D222">
        <v>3</v>
      </c>
      <c r="E222">
        <v>1</v>
      </c>
    </row>
    <row r="223" spans="1:5" x14ac:dyDescent="0.25">
      <c r="A223" t="s">
        <v>164</v>
      </c>
      <c r="B223" t="s">
        <v>83</v>
      </c>
      <c r="C223" t="s">
        <v>95</v>
      </c>
      <c r="D223">
        <v>2</v>
      </c>
      <c r="E223">
        <v>2</v>
      </c>
    </row>
    <row r="224" spans="1:5" x14ac:dyDescent="0.25">
      <c r="A224" t="s">
        <v>164</v>
      </c>
      <c r="B224" t="s">
        <v>87</v>
      </c>
      <c r="C224" t="s">
        <v>82</v>
      </c>
      <c r="D224">
        <v>2</v>
      </c>
      <c r="E224">
        <v>1</v>
      </c>
    </row>
    <row r="225" spans="1:5" x14ac:dyDescent="0.25">
      <c r="A225" t="s">
        <v>164</v>
      </c>
      <c r="B225" t="s">
        <v>90</v>
      </c>
      <c r="C225" t="s">
        <v>97</v>
      </c>
      <c r="D225">
        <v>2</v>
      </c>
      <c r="E225">
        <v>0</v>
      </c>
    </row>
    <row r="226" spans="1:5" x14ac:dyDescent="0.25">
      <c r="A226" t="s">
        <v>164</v>
      </c>
      <c r="B226" t="s">
        <v>80</v>
      </c>
      <c r="C226" t="s">
        <v>89</v>
      </c>
      <c r="D226">
        <v>3</v>
      </c>
      <c r="E226">
        <v>2</v>
      </c>
    </row>
    <row r="227" spans="1:5" x14ac:dyDescent="0.25">
      <c r="A227" t="s">
        <v>165</v>
      </c>
      <c r="B227" t="s">
        <v>81</v>
      </c>
      <c r="C227" t="s">
        <v>93</v>
      </c>
      <c r="D227">
        <v>0</v>
      </c>
      <c r="E227">
        <v>2</v>
      </c>
    </row>
    <row r="228" spans="1:5" x14ac:dyDescent="0.25">
      <c r="A228" t="s">
        <v>165</v>
      </c>
      <c r="B228" t="s">
        <v>85</v>
      </c>
      <c r="C228" t="s">
        <v>84</v>
      </c>
      <c r="D228">
        <v>1</v>
      </c>
      <c r="E228">
        <v>3</v>
      </c>
    </row>
    <row r="229" spans="1:5" x14ac:dyDescent="0.25">
      <c r="A229" t="s">
        <v>165</v>
      </c>
      <c r="B229" t="s">
        <v>92</v>
      </c>
      <c r="C229" t="s">
        <v>79</v>
      </c>
      <c r="D229">
        <v>0</v>
      </c>
      <c r="E229">
        <v>2</v>
      </c>
    </row>
    <row r="230" spans="1:5" x14ac:dyDescent="0.25">
      <c r="A230" t="s">
        <v>165</v>
      </c>
      <c r="B230" t="s">
        <v>78</v>
      </c>
      <c r="C230" t="s">
        <v>91</v>
      </c>
      <c r="D230">
        <v>2</v>
      </c>
      <c r="E230">
        <v>3</v>
      </c>
    </row>
    <row r="231" spans="1:5" x14ac:dyDescent="0.25">
      <c r="A231" t="s">
        <v>166</v>
      </c>
      <c r="B231" t="s">
        <v>86</v>
      </c>
      <c r="C231" t="s">
        <v>88</v>
      </c>
      <c r="D231">
        <v>1</v>
      </c>
      <c r="E231">
        <v>1</v>
      </c>
    </row>
    <row r="232" spans="1:5" x14ac:dyDescent="0.25">
      <c r="A232" t="s">
        <v>167</v>
      </c>
      <c r="B232" t="s">
        <v>82</v>
      </c>
      <c r="C232" t="s">
        <v>86</v>
      </c>
      <c r="D232">
        <v>1</v>
      </c>
      <c r="E232">
        <v>1</v>
      </c>
    </row>
    <row r="233" spans="1:5" x14ac:dyDescent="0.25">
      <c r="A233" t="s">
        <v>167</v>
      </c>
      <c r="B233" t="s">
        <v>88</v>
      </c>
      <c r="C233" t="s">
        <v>78</v>
      </c>
      <c r="D233">
        <v>0</v>
      </c>
      <c r="E233">
        <v>4</v>
      </c>
    </row>
    <row r="234" spans="1:5" x14ac:dyDescent="0.25">
      <c r="A234" t="s">
        <v>167</v>
      </c>
      <c r="B234" t="s">
        <v>97</v>
      </c>
      <c r="C234" t="s">
        <v>80</v>
      </c>
      <c r="D234">
        <v>0</v>
      </c>
      <c r="E234">
        <v>2</v>
      </c>
    </row>
    <row r="235" spans="1:5" x14ac:dyDescent="0.25">
      <c r="A235" t="s">
        <v>167</v>
      </c>
      <c r="B235" t="s">
        <v>84</v>
      </c>
      <c r="C235" t="s">
        <v>96</v>
      </c>
      <c r="D235">
        <v>3</v>
      </c>
      <c r="E235">
        <v>2</v>
      </c>
    </row>
    <row r="236" spans="1:5" x14ac:dyDescent="0.25">
      <c r="A236" t="s">
        <v>167</v>
      </c>
      <c r="B236" t="s">
        <v>89</v>
      </c>
      <c r="C236" t="s">
        <v>92</v>
      </c>
      <c r="D236">
        <v>4</v>
      </c>
      <c r="E236">
        <v>1</v>
      </c>
    </row>
    <row r="237" spans="1:5" x14ac:dyDescent="0.25">
      <c r="A237" t="s">
        <v>168</v>
      </c>
      <c r="B237" t="s">
        <v>79</v>
      </c>
      <c r="C237" t="s">
        <v>81</v>
      </c>
      <c r="D237">
        <v>0</v>
      </c>
      <c r="E237">
        <v>1</v>
      </c>
    </row>
    <row r="238" spans="1:5" x14ac:dyDescent="0.25">
      <c r="A238" t="s">
        <v>168</v>
      </c>
      <c r="B238" t="s">
        <v>91</v>
      </c>
      <c r="C238" t="s">
        <v>87</v>
      </c>
      <c r="D238">
        <v>3</v>
      </c>
      <c r="E238">
        <v>2</v>
      </c>
    </row>
    <row r="239" spans="1:5" x14ac:dyDescent="0.25">
      <c r="A239" t="s">
        <v>168</v>
      </c>
      <c r="B239" t="s">
        <v>93</v>
      </c>
      <c r="C239" t="s">
        <v>85</v>
      </c>
      <c r="D239">
        <v>1</v>
      </c>
      <c r="E239">
        <v>1</v>
      </c>
    </row>
    <row r="240" spans="1:5" x14ac:dyDescent="0.25">
      <c r="A240" t="s">
        <v>168</v>
      </c>
      <c r="B240" t="s">
        <v>95</v>
      </c>
      <c r="C240" t="s">
        <v>90</v>
      </c>
      <c r="D240">
        <v>2</v>
      </c>
      <c r="E240">
        <v>2</v>
      </c>
    </row>
    <row r="241" spans="1:5" x14ac:dyDescent="0.25">
      <c r="A241" t="s">
        <v>169</v>
      </c>
      <c r="B241" t="s">
        <v>94</v>
      </c>
      <c r="C241" t="s">
        <v>83</v>
      </c>
      <c r="D241">
        <v>3</v>
      </c>
      <c r="E241">
        <v>0</v>
      </c>
    </row>
    <row r="242" spans="1:5" x14ac:dyDescent="0.25">
      <c r="A242" t="s">
        <v>170</v>
      </c>
      <c r="B242" t="s">
        <v>88</v>
      </c>
      <c r="C242" t="s">
        <v>93</v>
      </c>
      <c r="D242">
        <v>3</v>
      </c>
      <c r="E242">
        <v>1</v>
      </c>
    </row>
    <row r="243" spans="1:5" x14ac:dyDescent="0.25">
      <c r="A243" t="s">
        <v>171</v>
      </c>
      <c r="B243" t="s">
        <v>91</v>
      </c>
      <c r="C243" t="s">
        <v>95</v>
      </c>
      <c r="D243">
        <v>2</v>
      </c>
      <c r="E243">
        <v>0</v>
      </c>
    </row>
    <row r="244" spans="1:5" x14ac:dyDescent="0.25">
      <c r="A244" t="s">
        <v>171</v>
      </c>
      <c r="B244" t="s">
        <v>78</v>
      </c>
      <c r="C244" t="s">
        <v>94</v>
      </c>
      <c r="D244">
        <v>3</v>
      </c>
      <c r="E244">
        <v>0</v>
      </c>
    </row>
    <row r="245" spans="1:5" x14ac:dyDescent="0.25">
      <c r="A245" t="s">
        <v>171</v>
      </c>
      <c r="B245" t="s">
        <v>80</v>
      </c>
      <c r="C245" t="s">
        <v>79</v>
      </c>
      <c r="D245">
        <v>1</v>
      </c>
      <c r="E245">
        <v>1</v>
      </c>
    </row>
    <row r="246" spans="1:5" x14ac:dyDescent="0.25">
      <c r="A246" t="s">
        <v>171</v>
      </c>
      <c r="B246" t="s">
        <v>83</v>
      </c>
      <c r="C246" t="s">
        <v>96</v>
      </c>
      <c r="D246">
        <v>0</v>
      </c>
      <c r="E246">
        <v>2</v>
      </c>
    </row>
    <row r="247" spans="1:5" x14ac:dyDescent="0.25">
      <c r="A247" t="s">
        <v>171</v>
      </c>
      <c r="B247" t="s">
        <v>87</v>
      </c>
      <c r="C247" t="s">
        <v>86</v>
      </c>
      <c r="D247">
        <v>1</v>
      </c>
      <c r="E247">
        <v>2</v>
      </c>
    </row>
    <row r="248" spans="1:5" x14ac:dyDescent="0.25">
      <c r="A248" t="s">
        <v>171</v>
      </c>
      <c r="B248" t="s">
        <v>97</v>
      </c>
      <c r="C248" t="s">
        <v>84</v>
      </c>
      <c r="D248">
        <v>1</v>
      </c>
      <c r="E248">
        <v>3</v>
      </c>
    </row>
    <row r="249" spans="1:5" x14ac:dyDescent="0.25">
      <c r="A249" t="s">
        <v>171</v>
      </c>
      <c r="B249" t="s">
        <v>92</v>
      </c>
      <c r="C249" t="s">
        <v>81</v>
      </c>
      <c r="D249">
        <v>2</v>
      </c>
      <c r="E249">
        <v>3</v>
      </c>
    </row>
    <row r="250" spans="1:5" x14ac:dyDescent="0.25">
      <c r="A250" t="s">
        <v>172</v>
      </c>
      <c r="B250" t="s">
        <v>82</v>
      </c>
      <c r="C250" t="s">
        <v>85</v>
      </c>
      <c r="D250">
        <v>0</v>
      </c>
      <c r="E250">
        <v>1</v>
      </c>
    </row>
    <row r="251" spans="1:5" x14ac:dyDescent="0.25">
      <c r="A251" t="s">
        <v>172</v>
      </c>
      <c r="B251" t="s">
        <v>89</v>
      </c>
      <c r="C251" t="s">
        <v>90</v>
      </c>
      <c r="D251">
        <v>1</v>
      </c>
      <c r="E251">
        <v>2</v>
      </c>
    </row>
    <row r="252" spans="1:5" x14ac:dyDescent="0.25">
      <c r="A252" t="s">
        <v>173</v>
      </c>
      <c r="B252" t="s">
        <v>84</v>
      </c>
      <c r="C252" t="s">
        <v>88</v>
      </c>
      <c r="D252">
        <v>2</v>
      </c>
      <c r="E252">
        <v>2</v>
      </c>
    </row>
    <row r="253" spans="1:5" x14ac:dyDescent="0.25">
      <c r="A253" t="s">
        <v>173</v>
      </c>
      <c r="B253" t="s">
        <v>86</v>
      </c>
      <c r="C253" t="s">
        <v>80</v>
      </c>
      <c r="D253">
        <v>1</v>
      </c>
      <c r="E253">
        <v>2</v>
      </c>
    </row>
    <row r="254" spans="1:5" x14ac:dyDescent="0.25">
      <c r="A254" t="s">
        <v>173</v>
      </c>
      <c r="B254" t="s">
        <v>95</v>
      </c>
      <c r="C254" t="s">
        <v>92</v>
      </c>
      <c r="D254">
        <v>1</v>
      </c>
      <c r="E254">
        <v>2</v>
      </c>
    </row>
    <row r="255" spans="1:5" x14ac:dyDescent="0.25">
      <c r="A255" t="s">
        <v>173</v>
      </c>
      <c r="B255" t="s">
        <v>96</v>
      </c>
      <c r="C255" t="s">
        <v>91</v>
      </c>
      <c r="D255">
        <v>1</v>
      </c>
      <c r="E255">
        <v>1</v>
      </c>
    </row>
    <row r="256" spans="1:5" x14ac:dyDescent="0.25">
      <c r="A256" t="s">
        <v>174</v>
      </c>
      <c r="B256" t="s">
        <v>79</v>
      </c>
      <c r="C256" t="s">
        <v>82</v>
      </c>
      <c r="D256">
        <v>1</v>
      </c>
      <c r="E256">
        <v>0</v>
      </c>
    </row>
    <row r="257" spans="1:5" x14ac:dyDescent="0.25">
      <c r="A257" t="s">
        <v>174</v>
      </c>
      <c r="B257" t="s">
        <v>85</v>
      </c>
      <c r="C257" t="s">
        <v>83</v>
      </c>
      <c r="D257">
        <v>2</v>
      </c>
      <c r="E257">
        <v>3</v>
      </c>
    </row>
    <row r="258" spans="1:5" x14ac:dyDescent="0.25">
      <c r="A258" t="s">
        <v>174</v>
      </c>
      <c r="B258" t="s">
        <v>90</v>
      </c>
      <c r="C258" t="s">
        <v>87</v>
      </c>
      <c r="D258">
        <v>3</v>
      </c>
      <c r="E258">
        <v>0</v>
      </c>
    </row>
    <row r="259" spans="1:5" x14ac:dyDescent="0.25">
      <c r="A259" t="s">
        <v>174</v>
      </c>
      <c r="B259" t="s">
        <v>93</v>
      </c>
      <c r="C259" t="s">
        <v>97</v>
      </c>
      <c r="D259">
        <v>0</v>
      </c>
      <c r="E259">
        <v>0</v>
      </c>
    </row>
    <row r="260" spans="1:5" x14ac:dyDescent="0.25">
      <c r="A260" t="s">
        <v>174</v>
      </c>
      <c r="B260" t="s">
        <v>94</v>
      </c>
      <c r="C260" t="s">
        <v>89</v>
      </c>
      <c r="D260">
        <v>0</v>
      </c>
      <c r="E260">
        <v>1</v>
      </c>
    </row>
    <row r="261" spans="1:5" x14ac:dyDescent="0.25">
      <c r="A261" t="s">
        <v>175</v>
      </c>
      <c r="B261" t="s">
        <v>81</v>
      </c>
      <c r="C261" t="s">
        <v>78</v>
      </c>
      <c r="D261">
        <v>1</v>
      </c>
      <c r="E261">
        <v>1</v>
      </c>
    </row>
    <row r="262" spans="1:5" x14ac:dyDescent="0.25">
      <c r="A262" t="s">
        <v>176</v>
      </c>
      <c r="B262" t="s">
        <v>97</v>
      </c>
      <c r="C262" t="s">
        <v>78</v>
      </c>
      <c r="D262">
        <v>2</v>
      </c>
      <c r="E262">
        <v>2</v>
      </c>
    </row>
    <row r="263" spans="1:5" x14ac:dyDescent="0.25">
      <c r="A263" t="s">
        <v>177</v>
      </c>
      <c r="B263" t="s">
        <v>79</v>
      </c>
      <c r="C263" t="s">
        <v>88</v>
      </c>
      <c r="D263">
        <v>1</v>
      </c>
      <c r="E263">
        <v>1</v>
      </c>
    </row>
    <row r="264" spans="1:5" x14ac:dyDescent="0.25">
      <c r="A264" t="s">
        <v>177</v>
      </c>
      <c r="B264" t="s">
        <v>81</v>
      </c>
      <c r="C264" t="s">
        <v>82</v>
      </c>
      <c r="D264">
        <v>0</v>
      </c>
      <c r="E264">
        <v>2</v>
      </c>
    </row>
    <row r="265" spans="1:5" x14ac:dyDescent="0.25">
      <c r="A265" t="s">
        <v>177</v>
      </c>
      <c r="B265" t="s">
        <v>84</v>
      </c>
      <c r="C265" t="s">
        <v>83</v>
      </c>
      <c r="D265">
        <v>1</v>
      </c>
      <c r="E265">
        <v>1</v>
      </c>
    </row>
    <row r="266" spans="1:5" x14ac:dyDescent="0.25">
      <c r="A266" t="s">
        <v>177</v>
      </c>
      <c r="B266" t="s">
        <v>96</v>
      </c>
      <c r="C266" t="s">
        <v>80</v>
      </c>
      <c r="D266">
        <v>0</v>
      </c>
      <c r="E266">
        <v>0</v>
      </c>
    </row>
    <row r="267" spans="1:5" x14ac:dyDescent="0.25">
      <c r="A267" t="s">
        <v>177</v>
      </c>
      <c r="B267" t="s">
        <v>90</v>
      </c>
      <c r="C267" t="s">
        <v>92</v>
      </c>
      <c r="D267">
        <v>2</v>
      </c>
      <c r="E267">
        <v>1</v>
      </c>
    </row>
    <row r="268" spans="1:5" x14ac:dyDescent="0.25">
      <c r="A268" t="s">
        <v>178</v>
      </c>
      <c r="B268" t="s">
        <v>85</v>
      </c>
      <c r="C268" t="s">
        <v>97</v>
      </c>
      <c r="D268">
        <v>1</v>
      </c>
      <c r="E268">
        <v>0</v>
      </c>
    </row>
    <row r="269" spans="1:5" x14ac:dyDescent="0.25">
      <c r="A269" t="s">
        <v>178</v>
      </c>
      <c r="B269" t="s">
        <v>93</v>
      </c>
      <c r="C269" t="s">
        <v>89</v>
      </c>
      <c r="D269">
        <v>0</v>
      </c>
      <c r="E269">
        <v>1</v>
      </c>
    </row>
    <row r="270" spans="1:5" x14ac:dyDescent="0.25">
      <c r="A270" t="s">
        <v>178</v>
      </c>
      <c r="B270" t="s">
        <v>94</v>
      </c>
      <c r="C270" t="s">
        <v>87</v>
      </c>
      <c r="D270">
        <v>1</v>
      </c>
      <c r="E270">
        <v>3</v>
      </c>
    </row>
    <row r="271" spans="1:5" x14ac:dyDescent="0.25">
      <c r="A271" t="s">
        <v>178</v>
      </c>
      <c r="B271" t="s">
        <v>95</v>
      </c>
      <c r="C271" t="s">
        <v>78</v>
      </c>
      <c r="D271">
        <v>1</v>
      </c>
      <c r="E271">
        <v>4</v>
      </c>
    </row>
    <row r="272" spans="1:5" x14ac:dyDescent="0.25">
      <c r="A272" t="s">
        <v>179</v>
      </c>
      <c r="B272" t="s">
        <v>86</v>
      </c>
      <c r="C272" t="s">
        <v>91</v>
      </c>
      <c r="D272">
        <v>0</v>
      </c>
      <c r="E272">
        <v>1</v>
      </c>
    </row>
    <row r="273" spans="1:5" x14ac:dyDescent="0.25">
      <c r="A273" t="s">
        <v>180</v>
      </c>
      <c r="B273" t="s">
        <v>97</v>
      </c>
      <c r="C273" t="s">
        <v>79</v>
      </c>
      <c r="D273">
        <v>2</v>
      </c>
      <c r="E273">
        <v>0</v>
      </c>
    </row>
    <row r="274" spans="1:5" x14ac:dyDescent="0.25">
      <c r="A274" t="s">
        <v>181</v>
      </c>
      <c r="B274" t="s">
        <v>80</v>
      </c>
      <c r="C274" t="s">
        <v>94</v>
      </c>
      <c r="D274">
        <v>1</v>
      </c>
      <c r="E274">
        <v>1</v>
      </c>
    </row>
    <row r="275" spans="1:5" x14ac:dyDescent="0.25">
      <c r="A275" t="s">
        <v>181</v>
      </c>
      <c r="B275" t="s">
        <v>83</v>
      </c>
      <c r="C275" t="s">
        <v>81</v>
      </c>
      <c r="D275">
        <v>3</v>
      </c>
      <c r="E275">
        <v>4</v>
      </c>
    </row>
    <row r="276" spans="1:5" x14ac:dyDescent="0.25">
      <c r="A276" t="s">
        <v>181</v>
      </c>
      <c r="B276" t="s">
        <v>89</v>
      </c>
      <c r="C276" t="s">
        <v>96</v>
      </c>
      <c r="D276">
        <v>5</v>
      </c>
      <c r="E276">
        <v>2</v>
      </c>
    </row>
    <row r="277" spans="1:5" x14ac:dyDescent="0.25">
      <c r="A277" t="s">
        <v>181</v>
      </c>
      <c r="B277" t="s">
        <v>92</v>
      </c>
      <c r="C277" t="s">
        <v>86</v>
      </c>
      <c r="D277">
        <v>2</v>
      </c>
      <c r="E277">
        <v>3</v>
      </c>
    </row>
    <row r="278" spans="1:5" x14ac:dyDescent="0.25">
      <c r="A278" t="s">
        <v>181</v>
      </c>
      <c r="B278" t="s">
        <v>88</v>
      </c>
      <c r="C278" t="s">
        <v>90</v>
      </c>
      <c r="D278">
        <v>0</v>
      </c>
      <c r="E278">
        <v>1</v>
      </c>
    </row>
    <row r="279" spans="1:5" x14ac:dyDescent="0.25">
      <c r="A279" t="s">
        <v>182</v>
      </c>
      <c r="B279" t="s">
        <v>82</v>
      </c>
      <c r="C279" t="s">
        <v>93</v>
      </c>
      <c r="D279">
        <v>2</v>
      </c>
      <c r="E279">
        <v>1</v>
      </c>
    </row>
    <row r="280" spans="1:5" x14ac:dyDescent="0.25">
      <c r="A280" t="s">
        <v>182</v>
      </c>
      <c r="B280" t="s">
        <v>87</v>
      </c>
      <c r="C280" t="s">
        <v>95</v>
      </c>
      <c r="D280">
        <v>2</v>
      </c>
      <c r="E280">
        <v>1</v>
      </c>
    </row>
    <row r="281" spans="1:5" x14ac:dyDescent="0.25">
      <c r="A281" t="s">
        <v>182</v>
      </c>
      <c r="B281" t="s">
        <v>91</v>
      </c>
      <c r="C281" t="s">
        <v>85</v>
      </c>
      <c r="D281">
        <v>2</v>
      </c>
      <c r="E281">
        <v>1</v>
      </c>
    </row>
    <row r="282" spans="1:5" x14ac:dyDescent="0.25">
      <c r="A282" t="s">
        <v>182</v>
      </c>
      <c r="B282" t="s">
        <v>78</v>
      </c>
      <c r="C282" t="s">
        <v>84</v>
      </c>
      <c r="D282">
        <v>2</v>
      </c>
      <c r="E282">
        <v>1</v>
      </c>
    </row>
    <row r="283" spans="1:5" x14ac:dyDescent="0.25">
      <c r="A283" t="s">
        <v>183</v>
      </c>
      <c r="B283" t="s">
        <v>80</v>
      </c>
      <c r="C283" t="s">
        <v>81</v>
      </c>
      <c r="D283">
        <v>0</v>
      </c>
      <c r="E283">
        <v>0</v>
      </c>
    </row>
    <row r="284" spans="1:5" x14ac:dyDescent="0.25">
      <c r="A284" t="s">
        <v>183</v>
      </c>
      <c r="B284" t="s">
        <v>86</v>
      </c>
      <c r="C284" t="s">
        <v>83</v>
      </c>
      <c r="D284">
        <v>2</v>
      </c>
      <c r="E284">
        <v>0</v>
      </c>
    </row>
    <row r="285" spans="1:5" x14ac:dyDescent="0.25">
      <c r="A285" t="s">
        <v>183</v>
      </c>
      <c r="B285" t="s">
        <v>88</v>
      </c>
      <c r="C285" t="s">
        <v>94</v>
      </c>
      <c r="D285">
        <v>0</v>
      </c>
      <c r="E285">
        <v>1</v>
      </c>
    </row>
    <row r="286" spans="1:5" x14ac:dyDescent="0.25">
      <c r="A286" t="s">
        <v>183</v>
      </c>
      <c r="B286" t="s">
        <v>97</v>
      </c>
      <c r="C286" t="s">
        <v>89</v>
      </c>
      <c r="D286">
        <v>2</v>
      </c>
      <c r="E286">
        <v>1</v>
      </c>
    </row>
    <row r="287" spans="1:5" x14ac:dyDescent="0.25">
      <c r="A287" t="s">
        <v>184</v>
      </c>
      <c r="B287" t="s">
        <v>79</v>
      </c>
      <c r="C287" t="s">
        <v>84</v>
      </c>
      <c r="D287">
        <v>1</v>
      </c>
      <c r="E287">
        <v>4</v>
      </c>
    </row>
    <row r="288" spans="1:5" x14ac:dyDescent="0.25">
      <c r="A288" t="s">
        <v>184</v>
      </c>
      <c r="B288" t="s">
        <v>82</v>
      </c>
      <c r="C288" t="s">
        <v>78</v>
      </c>
      <c r="D288">
        <v>0</v>
      </c>
      <c r="E288">
        <v>1</v>
      </c>
    </row>
    <row r="289" spans="1:5" x14ac:dyDescent="0.25">
      <c r="A289" t="s">
        <v>184</v>
      </c>
      <c r="B289" t="s">
        <v>87</v>
      </c>
      <c r="C289" t="s">
        <v>96</v>
      </c>
      <c r="D289">
        <v>0</v>
      </c>
      <c r="E289">
        <v>1</v>
      </c>
    </row>
    <row r="290" spans="1:5" x14ac:dyDescent="0.25">
      <c r="A290" t="s">
        <v>184</v>
      </c>
      <c r="B290" t="s">
        <v>90</v>
      </c>
      <c r="C290" t="s">
        <v>93</v>
      </c>
      <c r="D290">
        <v>2</v>
      </c>
      <c r="E290">
        <v>2</v>
      </c>
    </row>
    <row r="291" spans="1:5" x14ac:dyDescent="0.25">
      <c r="A291" t="s">
        <v>184</v>
      </c>
      <c r="B291" t="s">
        <v>92</v>
      </c>
      <c r="C291" t="s">
        <v>91</v>
      </c>
      <c r="D291">
        <v>2</v>
      </c>
      <c r="E291">
        <v>1</v>
      </c>
    </row>
    <row r="292" spans="1:5" x14ac:dyDescent="0.25">
      <c r="A292" t="s">
        <v>185</v>
      </c>
      <c r="B292" t="s">
        <v>95</v>
      </c>
      <c r="C292" t="s">
        <v>85</v>
      </c>
      <c r="D292">
        <v>1</v>
      </c>
      <c r="E29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RawData</vt:lpstr>
      <vt:lpstr>TeamStats</vt:lpstr>
      <vt:lpstr>Kampanalyse</vt:lpstr>
      <vt:lpstr>Tabell</vt:lpstr>
      <vt:lpstr>LiveTabell</vt:lpstr>
      <vt:lpstr>Kamper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Øyvind Granberg</cp:lastModifiedBy>
  <dcterms:created xsi:type="dcterms:W3CDTF">2026-03-15T17:04:15Z</dcterms:created>
  <dcterms:modified xsi:type="dcterms:W3CDTF">2026-03-16T11:06:50Z</dcterms:modified>
</cp:coreProperties>
</file>